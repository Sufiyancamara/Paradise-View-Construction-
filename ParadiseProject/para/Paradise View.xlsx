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nd Floor Construction " sheetId="1" r:id="rId5"/>
    <sheet name="2nd Floor Roof Concreting Pivot" sheetId="2" r:id="rId6"/>
    <sheet name="3rd Floor" sheetId="3" r:id="rId7"/>
    <sheet name="3rd Floor Roof Concrete " sheetId="4" r:id="rId8"/>
    <sheet name="Table 1 Pivot" sheetId="5" r:id="rId9"/>
    <sheet name="4th Floor" sheetId="6" r:id="rId10"/>
  </sheets>
  <pivotCaches>
    <pivotCache cacheId="0" r:id="rId11"/>
    <pivotCache cacheId="1" r:id="rId12"/>
  </pivotCaches>
</workbook>
</file>

<file path=xl/comments1.xml><?xml version="1.0" encoding="utf-8"?>
<comments xmlns="http://schemas.openxmlformats.org/spreadsheetml/2006/main">
  <authors>
    <author>Sufiyan Camara</author>
  </authors>
  <commentList>
    <comment ref="J166" authorId="0">
      <text>
        <r>
          <rPr>
            <sz val="11"/>
            <color indexed="8"/>
            <rFont val="Helvetica Neue"/>
          </rPr>
          <t>Sufiyan Camara:
Minus 5 returned plywood totaling 2100</t>
        </r>
      </text>
    </comment>
  </commentList>
</comments>
</file>

<file path=xl/comments2.xml><?xml version="1.0" encoding="utf-8"?>
<comments xmlns="http://schemas.openxmlformats.org/spreadsheetml/2006/main">
  <authors>
    <author>Sufiyan Camara</author>
  </authors>
  <commentList>
    <comment ref="P102" authorId="0">
      <text>
        <r>
          <rPr>
            <sz val="11"/>
            <color indexed="8"/>
            <rFont val="Helvetica Neue"/>
          </rPr>
          <t>Sufiyan Camara:
Wave fee for 7 Dalasis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<sst xmlns="http://schemas.openxmlformats.org/spreadsheetml/2006/main" uniqueCount="295">
  <si>
    <t>2nd Floor Construction</t>
  </si>
  <si>
    <t>ITEM</t>
  </si>
  <si>
    <t xml:space="preserve">QUALITY </t>
  </si>
  <si>
    <t>UNIT PRICE(D)</t>
  </si>
  <si>
    <t>TOTAL COST(D)</t>
  </si>
  <si>
    <t>DATE</t>
  </si>
  <si>
    <t>Rope for Lifting Bricks</t>
  </si>
  <si>
    <t>8/28/2025</t>
  </si>
  <si>
    <t>Iron Rod 12mm</t>
  </si>
  <si>
    <t>8/30/2025</t>
  </si>
  <si>
    <t>Iron Rod 6mm</t>
  </si>
  <si>
    <t>Wheelbarrow</t>
  </si>
  <si>
    <t>Binding Wire(Roll)</t>
  </si>
  <si>
    <t>Materials Transpot</t>
  </si>
  <si>
    <t>Cement</t>
  </si>
  <si>
    <t>Cement Transport</t>
  </si>
  <si>
    <t>Contractor Momodou Njaye Payment</t>
  </si>
  <si>
    <t>Gas for Generator</t>
  </si>
  <si>
    <t>8/31/2025</t>
  </si>
  <si>
    <t>Generator Repair</t>
  </si>
  <si>
    <t>9/5/2025</t>
  </si>
  <si>
    <t>Sand(10Wheel)</t>
  </si>
  <si>
    <t>9/6/2025</t>
  </si>
  <si>
    <t>9/8/2025</t>
  </si>
  <si>
    <t>9/10/2025</t>
  </si>
  <si>
    <t>1 by 2 wood</t>
  </si>
  <si>
    <t>9/13/2025</t>
  </si>
  <si>
    <t>Splitting Plywoods</t>
  </si>
  <si>
    <t>Nail(kg) 3 in</t>
  </si>
  <si>
    <t>9/15/2025</t>
  </si>
  <si>
    <t>9/16/2025</t>
  </si>
  <si>
    <t>Asphalt Stone(19 cubic)</t>
  </si>
  <si>
    <t>9/17/2025</t>
  </si>
  <si>
    <t>Iron Rod 10mm</t>
  </si>
  <si>
    <t>Iron Rods Transport</t>
  </si>
  <si>
    <t>Chain(2m)</t>
  </si>
  <si>
    <t>Lock</t>
  </si>
  <si>
    <t>1 by 6</t>
  </si>
  <si>
    <t>1 by 6 &amp; 12mm Rod Transport</t>
  </si>
  <si>
    <t>9/21/2025</t>
  </si>
  <si>
    <t>Bucket</t>
  </si>
  <si>
    <t>9/22/2025</t>
  </si>
  <si>
    <t>9/24/2025</t>
  </si>
  <si>
    <t>Splitting Rest of the Plywoods</t>
  </si>
  <si>
    <t>Plywood &amp; 1 by 2 Transport</t>
  </si>
  <si>
    <t>9/29/2025</t>
  </si>
  <si>
    <t>Nail(kg) 2 in</t>
  </si>
  <si>
    <t>Nail(kg) 1 in</t>
  </si>
  <si>
    <t>9/30/2025</t>
  </si>
  <si>
    <t>Momo Waggeh's Sept Salary</t>
  </si>
  <si>
    <t>10/1/2025</t>
  </si>
  <si>
    <t>Njaye Extra- Transporting Bricks</t>
  </si>
  <si>
    <t>10/4/2025</t>
  </si>
  <si>
    <t>For Bubacarr Faye</t>
  </si>
  <si>
    <t>10/9/2025</t>
  </si>
  <si>
    <t>10/11/2025</t>
  </si>
  <si>
    <t>10/13/2025</t>
  </si>
  <si>
    <t>10/14/2025</t>
  </si>
  <si>
    <t>Generator Transport</t>
  </si>
  <si>
    <t>Wheelbarrow Repair</t>
  </si>
  <si>
    <t>Momo Waggeh's Bed</t>
  </si>
  <si>
    <t xml:space="preserve">Pilar Mold Rental </t>
  </si>
  <si>
    <t xml:space="preserve">Tank Removal </t>
  </si>
  <si>
    <t>Plywood 12mm</t>
  </si>
  <si>
    <t xml:space="preserve">Cardboard </t>
  </si>
  <si>
    <t>Plywood &amp; cardboard Transport</t>
  </si>
  <si>
    <t>six Pilar Iron Man</t>
  </si>
  <si>
    <t xml:space="preserve">Momo Waggeh's Salary </t>
  </si>
  <si>
    <t>Workers Bathroom Plumbing Materials +Trans</t>
  </si>
  <si>
    <t>Four Pillars Mold</t>
  </si>
  <si>
    <t xml:space="preserve">Four Pillars Mold Transport </t>
  </si>
  <si>
    <t>1 by 6 Wood</t>
  </si>
  <si>
    <t>Bathroom Plumbing Materials</t>
  </si>
  <si>
    <t>Borehole Pile</t>
  </si>
  <si>
    <t xml:space="preserve">Joins For Plumbing </t>
  </si>
  <si>
    <t>Tube for Plumbing(15mm)</t>
  </si>
  <si>
    <t xml:space="preserve">Soft Plywood </t>
  </si>
  <si>
    <t xml:space="preserve">Plywood Transport </t>
  </si>
  <si>
    <t>Plumber Fees</t>
  </si>
  <si>
    <t>Wave Fees</t>
  </si>
  <si>
    <t xml:space="preserve">Scarfing </t>
  </si>
  <si>
    <t xml:space="preserve">Scarfing Transport </t>
  </si>
  <si>
    <t xml:space="preserve">1 by 2 wood Transport </t>
  </si>
  <si>
    <t>Bathroom Manual and plastering the floor</t>
  </si>
  <si>
    <t xml:space="preserve">Balcony Extension </t>
  </si>
  <si>
    <t xml:space="preserve">Bathroom Door </t>
  </si>
  <si>
    <t xml:space="preserve">Ali Salary </t>
  </si>
  <si>
    <t>Scarfing + Acro Jack</t>
  </si>
  <si>
    <t xml:space="preserve">Scarfing + Acro Jack Transport </t>
  </si>
  <si>
    <t>Miss Calculation</t>
  </si>
  <si>
    <t>TOTAL:</t>
  </si>
  <si>
    <t>To Buba Tunkara</t>
  </si>
  <si>
    <t>On 08/26/25, from Tata</t>
  </si>
  <si>
    <t>$1 = 73.50</t>
  </si>
  <si>
    <t>On 9/09/25, from Awa</t>
  </si>
  <si>
    <t>On 9/21/25, from Tata</t>
  </si>
  <si>
    <t>$1 = 73.60</t>
  </si>
  <si>
    <t>On 10/26/25, from Awa</t>
  </si>
  <si>
    <t>$1 = 74.00</t>
  </si>
  <si>
    <t>On</t>
  </si>
  <si>
    <t>TOTAL AMOUNT GIVING TO DATE</t>
  </si>
  <si>
    <t>TOTAL AMOUNT SPENT</t>
  </si>
  <si>
    <t>REMAINING BALANCE IN HAND</t>
  </si>
  <si>
    <t>2nd Floor Roof Concreting</t>
  </si>
  <si>
    <t xml:space="preserve"> </t>
  </si>
  <si>
    <t>1/2 wood</t>
  </si>
  <si>
    <t xml:space="preserve">1/2 Wood Transport </t>
  </si>
  <si>
    <t>Concrete Nail 2 1/2 in</t>
  </si>
  <si>
    <t>Concrete Nail 2 in</t>
  </si>
  <si>
    <t>1/2 Wood</t>
  </si>
  <si>
    <t>1/6 Wood</t>
  </si>
  <si>
    <t xml:space="preserve">Wood Transport </t>
  </si>
  <si>
    <t xml:space="preserve">Carpenter Sana Payment </t>
  </si>
  <si>
    <t xml:space="preserve"> Balancing 11681+556875</t>
  </si>
  <si>
    <t>2/3 Wood</t>
  </si>
  <si>
    <t>Nail(pkg</t>
  </si>
  <si>
    <t xml:space="preserve">Materials Transport </t>
  </si>
  <si>
    <t xml:space="preserve">Acrojack </t>
  </si>
  <si>
    <t xml:space="preserve">Generator Repair </t>
  </si>
  <si>
    <t xml:space="preserve">Generator Transport </t>
  </si>
  <si>
    <t xml:space="preserve">Gas for Generator </t>
  </si>
  <si>
    <t xml:space="preserve">Plywood Rental </t>
  </si>
  <si>
    <t>Nail(kg)</t>
  </si>
  <si>
    <t>12/22/225</t>
  </si>
  <si>
    <t>Binding Wire</t>
  </si>
  <si>
    <t>Iron Man Payment</t>
  </si>
  <si>
    <t>Wave Transfer Fee</t>
  </si>
  <si>
    <t xml:space="preserve">10m Rope </t>
  </si>
  <si>
    <t>Poly</t>
  </si>
  <si>
    <t xml:space="preserve">Plumbing Materials </t>
  </si>
  <si>
    <t>Electrical Materials</t>
  </si>
  <si>
    <t xml:space="preserve">Electrical Material Transport </t>
  </si>
  <si>
    <t>Wash Stone</t>
  </si>
  <si>
    <t>Asphalt 19cu</t>
  </si>
  <si>
    <t>Sand</t>
  </si>
  <si>
    <t>Buba Tunkara</t>
  </si>
  <si>
    <t>Nail(Box) 2in</t>
  </si>
  <si>
    <t>Nails</t>
  </si>
  <si>
    <t xml:space="preserve">Acrojack Transport </t>
  </si>
  <si>
    <t xml:space="preserve">Electrician </t>
  </si>
  <si>
    <t xml:space="preserve">Electrical Material </t>
  </si>
  <si>
    <t xml:space="preserve">Adjusting the Pillars </t>
  </si>
  <si>
    <t xml:space="preserve">Plumber </t>
  </si>
  <si>
    <t xml:space="preserve">Ali Clearly pathway </t>
  </si>
  <si>
    <t xml:space="preserve">Cement </t>
  </si>
  <si>
    <t xml:space="preserve">Cement Transport </t>
  </si>
  <si>
    <t xml:space="preserve">1/12 Wood Rental and Transport </t>
  </si>
  <si>
    <t>Supervising Contractor</t>
  </si>
  <si>
    <t>Stone(6 wheel)</t>
  </si>
  <si>
    <t>Stone(6 wheel mini)</t>
  </si>
  <si>
    <t>Gas for Generator and Tea</t>
  </si>
  <si>
    <t>Concrete Man</t>
  </si>
  <si>
    <t>Food for Workers</t>
  </si>
  <si>
    <t>Bubacarr Faye</t>
  </si>
  <si>
    <t>Ali Salary</t>
  </si>
  <si>
    <t>Ali Watering Rooftop</t>
  </si>
  <si>
    <t>Ali Bringing Down Woods and Acrojacks</t>
  </si>
  <si>
    <t xml:space="preserve">Roof Materials Transport </t>
  </si>
  <si>
    <t xml:space="preserve">Plywood Rental 2Days Extension </t>
  </si>
  <si>
    <t xml:space="preserve">2/3 Wood Rental 2Days Extension </t>
  </si>
  <si>
    <t xml:space="preserve">Acrojack Rental 2Days Extension </t>
  </si>
  <si>
    <t xml:space="preserve">Bubacarr Faye Payment </t>
  </si>
  <si>
    <t>Ali moving the Woods  to the Room</t>
  </si>
  <si>
    <t>36 bags of Cement left after Concreting Moved to 3rd floor</t>
  </si>
  <si>
    <t>36 Bags of Cement Transport Moved to 3rd Floor</t>
  </si>
  <si>
    <t xml:space="preserve">Residual Moved to to 3rd Floor Expenses </t>
  </si>
  <si>
    <t>Sand Left after Concreting Moved to 3rd Floor</t>
  </si>
  <si>
    <t>TOTAL</t>
  </si>
  <si>
    <t>Sent to Bubacarr Faye Camara</t>
  </si>
  <si>
    <t>$1 = D74.25</t>
  </si>
  <si>
    <t>Amount remaining after the last beam</t>
  </si>
  <si>
    <t>Amount remaining after balancing on 12/06/25</t>
  </si>
  <si>
    <t>On 12/26/25, from Awa</t>
  </si>
  <si>
    <t>$1 = D74.10</t>
  </si>
  <si>
    <t>On 12/29/2025, from Awa</t>
  </si>
  <si>
    <t>TOTAL AMOUNT GIVING TO DATE, after Leftovers</t>
  </si>
  <si>
    <t>2nd Floor Roof Concreting Pivot</t>
  </si>
  <si>
    <t>QUALITY  (Sum)</t>
  </si>
  <si>
    <t>TOTAL COST(D) (Sum)</t>
  </si>
  <si>
    <t>Grand Total</t>
  </si>
  <si>
    <t>Paradise View</t>
  </si>
  <si>
    <t>COST(D)</t>
  </si>
  <si>
    <t>FLOOR</t>
  </si>
  <si>
    <t>3rd Floot</t>
  </si>
  <si>
    <t>Brick Molding Cost</t>
  </si>
  <si>
    <t>4th Floor</t>
  </si>
  <si>
    <t xml:space="preserve">Shovel Repair </t>
  </si>
  <si>
    <t>Sand Wave Fee</t>
  </si>
  <si>
    <t>Wave Fee</t>
  </si>
  <si>
    <t>On 10/14/25, from Awa</t>
  </si>
  <si>
    <t>$1 = 73.75</t>
  </si>
  <si>
    <t>TOTAL GIVING TO DATE</t>
  </si>
  <si>
    <t>Total Amount Spent</t>
  </si>
  <si>
    <t>Table 1</t>
  </si>
  <si>
    <t xml:space="preserve">COMMENT </t>
  </si>
  <si>
    <t>Sand(10wheel)</t>
  </si>
  <si>
    <t>Njaye Payment</t>
  </si>
  <si>
    <t>Balancing Starts here</t>
  </si>
  <si>
    <t>Iron Rod(12mm)</t>
  </si>
  <si>
    <t xml:space="preserve">Iron Rod + Binding Wite Transport </t>
  </si>
  <si>
    <t xml:space="preserve">Big Plastic Barrel </t>
  </si>
  <si>
    <t xml:space="preserve">Barrels Transport </t>
  </si>
  <si>
    <t>Bubacarr Faye Payment</t>
  </si>
  <si>
    <t>Fixing Momo Haja’s Gate</t>
  </si>
  <si>
    <t>Asphalt(95cu)</t>
  </si>
  <si>
    <t xml:space="preserve">Ali’ Payment </t>
  </si>
  <si>
    <t>Generator Repair and Gas</t>
  </si>
  <si>
    <t>Balancing ends here</t>
  </si>
  <si>
    <t>Iron Rod(10mm))</t>
  </si>
  <si>
    <t>Iron Rod(6mm)</t>
  </si>
  <si>
    <t>Materials Transport</t>
  </si>
  <si>
    <t>Ali Packing the Woods</t>
  </si>
  <si>
    <t>2/5 Wood</t>
  </si>
  <si>
    <t xml:space="preserve">1/5 Wood Transport </t>
  </si>
  <si>
    <t xml:space="preserve">Ramadan Experiences </t>
  </si>
  <si>
    <t xml:space="preserve">Ali’ Salary </t>
  </si>
  <si>
    <t xml:space="preserve">Design Pillars </t>
  </si>
  <si>
    <t>Oil for Big Pillars</t>
  </si>
  <si>
    <t>Balancing Ended Here</t>
  </si>
  <si>
    <t>Balancing Starts Here</t>
  </si>
  <si>
    <t>Big Pillar Mold  Rental (days)</t>
  </si>
  <si>
    <t xml:space="preserve">Big Pillar Mold Transport </t>
  </si>
  <si>
    <t xml:space="preserve">Cardboard and nails </t>
  </si>
  <si>
    <t xml:space="preserve">1/5 Wood </t>
  </si>
  <si>
    <t xml:space="preserve">Bubacarr Faye Court Expenses </t>
  </si>
  <si>
    <t>Scaffolding Rental, Safo (Daily)</t>
  </si>
  <si>
    <t>Scaffolding Transport</t>
  </si>
  <si>
    <t>Ackro Jack Rental</t>
  </si>
  <si>
    <t xml:space="preserve">Material Transport </t>
  </si>
  <si>
    <t>Residual - for Bubacarr Faye</t>
  </si>
  <si>
    <t>Money Given</t>
  </si>
  <si>
    <t>Given_By</t>
  </si>
  <si>
    <t>Date</t>
  </si>
  <si>
    <t>Amount(D)</t>
  </si>
  <si>
    <t>Amount($)</t>
  </si>
  <si>
    <t>Exchange Rate</t>
  </si>
  <si>
    <t>Sand Money</t>
  </si>
  <si>
    <t>Cement Money</t>
  </si>
  <si>
    <t>Awa</t>
  </si>
  <si>
    <t>Residual 4rm 2nd Floor</t>
  </si>
  <si>
    <t>From Tata</t>
  </si>
  <si>
    <t>From Awa</t>
  </si>
  <si>
    <t>Sika Cash</t>
  </si>
  <si>
    <t>$1 = 69.50</t>
  </si>
  <si>
    <t>Wave Money</t>
  </si>
  <si>
    <t>$1 = 69.00</t>
  </si>
  <si>
    <t xml:space="preserve">Residual moved to Roof Concrete </t>
  </si>
  <si>
    <t>TOTAL SPENT</t>
  </si>
  <si>
    <t>TOTAL REMAINING</t>
  </si>
  <si>
    <t>2/3 Wood Rentals(25Days)</t>
  </si>
  <si>
    <t>2/3 Woods Transport</t>
  </si>
  <si>
    <t>Nail(Box)</t>
  </si>
  <si>
    <t>Concrete Nail(BigBox)</t>
  </si>
  <si>
    <t xml:space="preserve">Carpenter </t>
  </si>
  <si>
    <t>AcroJack Rentals(18Days)</t>
  </si>
  <si>
    <t xml:space="preserve">AcroJack Transport </t>
  </si>
  <si>
    <t>2/3 Wood Rentals(17Days)</t>
  </si>
  <si>
    <t>Plywood (15Days)</t>
  </si>
  <si>
    <t>AcroJack Rentals(25Days)</t>
  </si>
  <si>
    <t xml:space="preserve">AcroJack and Plywood Transport </t>
  </si>
  <si>
    <t>2/3 Wood Rentals(16Days)</t>
  </si>
  <si>
    <t>Brick Molding (5 Bags)</t>
  </si>
  <si>
    <t>Iron Rod(10mm)</t>
  </si>
  <si>
    <t xml:space="preserve">Iron Rods Transport </t>
  </si>
  <si>
    <t>Concrete Nail (Pack)</t>
  </si>
  <si>
    <t xml:space="preserve">Asphalt(19cu) </t>
  </si>
  <si>
    <t xml:space="preserve">Ali Moving the Neighbor’s Sand </t>
  </si>
  <si>
    <t>Plumbing Materials</t>
  </si>
  <si>
    <t xml:space="preserve">Plumbing &amp; Electrical Materials Transport </t>
  </si>
  <si>
    <t>Washed Stone</t>
  </si>
  <si>
    <t>Plumber Extra</t>
  </si>
  <si>
    <t>Acrojack</t>
  </si>
  <si>
    <t>Iron Man Extra Payment</t>
  </si>
  <si>
    <t>2/8 Wood</t>
  </si>
  <si>
    <t xml:space="preserve">2/8 Wood Transport </t>
  </si>
  <si>
    <t>Concrete Guys Lunch</t>
  </si>
  <si>
    <t xml:space="preserve">Ali Transporting the Cement </t>
  </si>
  <si>
    <t>Carpenter Payment</t>
  </si>
  <si>
    <t>Wood Rental</t>
  </si>
  <si>
    <t>2/3 Wood Rentals Extension ( 14 Days)</t>
  </si>
  <si>
    <t>Acrojack Rental Extension (14 Days)</t>
  </si>
  <si>
    <t>Acrojack Extension ( 3 Days)</t>
  </si>
  <si>
    <t xml:space="preserve">Plywood 12mm Rental Extension </t>
  </si>
  <si>
    <t>2/3 Wood Wood Rental Extension ( 14 Days)</t>
  </si>
  <si>
    <t xml:space="preserve">Plywood &amp; 2/3 Transport </t>
  </si>
  <si>
    <t>Access- no Change for Bubacarr Faye</t>
  </si>
  <si>
    <t>Rebuilding the Fence</t>
  </si>
  <si>
    <t>Total</t>
  </si>
  <si>
    <t xml:space="preserve">Sika Cash Residual From 3rd Fl </t>
  </si>
  <si>
    <t>Tata</t>
  </si>
  <si>
    <t>Jula Kora</t>
  </si>
  <si>
    <t>Papa</t>
  </si>
  <si>
    <t>Moved to 4th floor</t>
  </si>
  <si>
    <t>Table 1 Pivot</t>
  </si>
  <si>
    <t>COST(D) (Sum)</t>
  </si>
</sst>
</file>

<file path=xl/styles.xml><?xml version="1.0" encoding="utf-8"?>
<styleSheet xmlns="http://schemas.openxmlformats.org/spreadsheetml/2006/main">
  <numFmts count="7">
    <numFmt numFmtId="0" formatCode="General"/>
    <numFmt numFmtId="59" formatCode="mm/dd/yyyy"/>
    <numFmt numFmtId="60" formatCode="m/d/yyyy"/>
    <numFmt numFmtId="61" formatCode="#,##0.0"/>
    <numFmt numFmtId="62" formatCode="mm/dd/yy"/>
    <numFmt numFmtId="63" formatCode="&quot;$&quot;#,##0"/>
    <numFmt numFmtId="64" formatCode="&quot;$&quot;#,##0.00"/>
  </numFmts>
  <fonts count="16">
    <font>
      <sz val="10"/>
      <color indexed="8"/>
      <name val="Helvetica Neue"/>
    </font>
    <font>
      <sz val="12"/>
      <color indexed="8"/>
      <name val="Helvetica Neue"/>
    </font>
    <font>
      <b val="1"/>
      <sz val="14"/>
      <color indexed="8"/>
      <name val="Helvetica Neue"/>
    </font>
    <font>
      <b val="1"/>
      <sz val="12"/>
      <color indexed="8"/>
      <name val="Helvetica Neue"/>
    </font>
    <font>
      <sz val="13"/>
      <color indexed="8"/>
      <name val="Helvetica Neue"/>
    </font>
    <font>
      <b val="1"/>
      <sz val="13"/>
      <color indexed="8"/>
      <name val="Helvetica Neue"/>
    </font>
    <font>
      <b val="1"/>
      <sz val="13"/>
      <color indexed="18"/>
      <name val="Helvetica Neue"/>
    </font>
    <font>
      <b val="1"/>
      <sz val="13"/>
      <color indexed="25"/>
      <name val="Helvetica Neue"/>
    </font>
    <font>
      <b val="1"/>
      <sz val="10"/>
      <color indexed="8"/>
      <name val="Helvetica Neue"/>
    </font>
    <font>
      <sz val="11"/>
      <color indexed="8"/>
      <name val="Helvetica Neue"/>
    </font>
    <font>
      <b val="1"/>
      <sz val="12"/>
      <color indexed="18"/>
      <name val="Helvetica Neue"/>
    </font>
    <font>
      <b val="1"/>
      <sz val="14"/>
      <color indexed="29"/>
      <name val="Helvetica Neue"/>
    </font>
    <font>
      <b val="1"/>
      <sz val="12"/>
      <color indexed="25"/>
      <name val="Helvetica Neue"/>
    </font>
    <font>
      <sz val="14"/>
      <color indexed="8"/>
      <name val="Helvetica"/>
    </font>
    <font>
      <b val="1"/>
      <sz val="14"/>
      <color indexed="8"/>
      <name val="Helvetica"/>
    </font>
    <font>
      <b val="1"/>
      <sz val="13"/>
      <color indexed="40"/>
      <name val="Helvetica Neue"/>
    </font>
  </fonts>
  <fills count="2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  <fill>
      <patternFill patternType="solid">
        <fgColor indexed="39"/>
        <bgColor auto="1"/>
      </patternFill>
    </fill>
    <fill>
      <patternFill patternType="solid">
        <fgColor indexed="41"/>
        <bgColor auto="1"/>
      </patternFill>
    </fill>
  </fills>
  <borders count="5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medium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1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1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2" fillId="3" borderId="1" applyNumberFormat="0" applyFont="1" applyFill="1" applyBorder="1" applyAlignment="1" applyProtection="0">
      <alignment horizontal="center" vertical="top" wrapText="1"/>
    </xf>
    <xf numFmtId="49" fontId="4" fillId="4" borderId="2" applyNumberFormat="1" applyFont="1" applyFill="1" applyBorder="1" applyAlignment="1" applyProtection="0">
      <alignment horizontal="left" vertical="center" wrapText="1"/>
    </xf>
    <xf numFmtId="0" fontId="4" fillId="4" borderId="2" applyNumberFormat="1" applyFont="1" applyFill="1" applyBorder="1" applyAlignment="1" applyProtection="0">
      <alignment vertical="center" wrapText="1"/>
    </xf>
    <xf numFmtId="4" fontId="4" fillId="4" borderId="2" applyNumberFormat="1" applyFont="1" applyFill="1" applyBorder="1" applyAlignment="1" applyProtection="0">
      <alignment vertical="center" wrapText="1"/>
    </xf>
    <xf numFmtId="49" fontId="4" fillId="4" borderId="2" applyNumberFormat="1" applyFont="1" applyFill="1" applyBorder="1" applyAlignment="1" applyProtection="0">
      <alignment horizontal="right" vertical="center" wrapText="1"/>
    </xf>
    <xf numFmtId="0" fontId="4" fillId="3" borderId="2" applyNumberFormat="0" applyFont="1" applyFill="1" applyBorder="1" applyAlignment="1" applyProtection="0">
      <alignment horizontal="left" vertical="center" wrapText="1"/>
    </xf>
    <xf numFmtId="49" fontId="4" fillId="4" borderId="3" applyNumberFormat="1" applyFont="1" applyFill="1" applyBorder="1" applyAlignment="1" applyProtection="0">
      <alignment horizontal="left" vertical="center" wrapText="1"/>
    </xf>
    <xf numFmtId="0" fontId="4" fillId="4" borderId="3" applyNumberFormat="1" applyFont="1" applyFill="1" applyBorder="1" applyAlignment="1" applyProtection="0">
      <alignment vertical="center" wrapText="1"/>
    </xf>
    <xf numFmtId="4" fontId="4" fillId="4" borderId="3" applyNumberFormat="1" applyFont="1" applyFill="1" applyBorder="1" applyAlignment="1" applyProtection="0">
      <alignment vertical="center" wrapText="1"/>
    </xf>
    <xf numFmtId="49" fontId="4" fillId="4" borderId="3" applyNumberFormat="1" applyFont="1" applyFill="1" applyBorder="1" applyAlignment="1" applyProtection="0">
      <alignment horizontal="right" vertical="center" wrapText="1"/>
    </xf>
    <xf numFmtId="0" fontId="4" fillId="3" borderId="3" applyNumberFormat="0" applyFont="1" applyFill="1" applyBorder="1" applyAlignment="1" applyProtection="0">
      <alignment horizontal="left" vertical="center" wrapText="1"/>
    </xf>
    <xf numFmtId="49" fontId="4" fillId="5" borderId="3" applyNumberFormat="1" applyFont="1" applyFill="1" applyBorder="1" applyAlignment="1" applyProtection="0">
      <alignment horizontal="left" vertical="center" wrapText="1"/>
    </xf>
    <xf numFmtId="0" fontId="4" fillId="5" borderId="3" applyNumberFormat="1" applyFont="1" applyFill="1" applyBorder="1" applyAlignment="1" applyProtection="0">
      <alignment vertical="center" wrapText="1"/>
    </xf>
    <xf numFmtId="4" fontId="4" fillId="5" borderId="3" applyNumberFormat="1" applyFont="1" applyFill="1" applyBorder="1" applyAlignment="1" applyProtection="0">
      <alignment vertical="center" wrapText="1"/>
    </xf>
    <xf numFmtId="49" fontId="4" fillId="5" borderId="3" applyNumberFormat="1" applyFont="1" applyFill="1" applyBorder="1" applyAlignment="1" applyProtection="0">
      <alignment horizontal="right" vertical="center" wrapText="1"/>
    </xf>
    <xf numFmtId="49" fontId="4" fillId="6" borderId="3" applyNumberFormat="1" applyFont="1" applyFill="1" applyBorder="1" applyAlignment="1" applyProtection="0">
      <alignment horizontal="left" vertical="center" wrapText="1"/>
    </xf>
    <xf numFmtId="0" fontId="4" fillId="6" borderId="3" applyNumberFormat="1" applyFont="1" applyFill="1" applyBorder="1" applyAlignment="1" applyProtection="0">
      <alignment vertical="center" wrapText="1"/>
    </xf>
    <xf numFmtId="4" fontId="4" fillId="6" borderId="3" applyNumberFormat="1" applyFont="1" applyFill="1" applyBorder="1" applyAlignment="1" applyProtection="0">
      <alignment vertical="center" wrapText="1"/>
    </xf>
    <xf numFmtId="49" fontId="4" fillId="6" borderId="3" applyNumberFormat="1" applyFont="1" applyFill="1" applyBorder="1" applyAlignment="1" applyProtection="0">
      <alignment horizontal="right" vertical="center" wrapText="1"/>
    </xf>
    <xf numFmtId="49" fontId="4" fillId="7" borderId="3" applyNumberFormat="1" applyFont="1" applyFill="1" applyBorder="1" applyAlignment="1" applyProtection="0">
      <alignment vertical="center" wrapText="1"/>
    </xf>
    <xf numFmtId="0" fontId="4" fillId="7" borderId="3" applyNumberFormat="1" applyFont="1" applyFill="1" applyBorder="1" applyAlignment="1" applyProtection="0">
      <alignment vertical="center" wrapText="1"/>
    </xf>
    <xf numFmtId="4" fontId="4" fillId="7" borderId="3" applyNumberFormat="1" applyFont="1" applyFill="1" applyBorder="1" applyAlignment="1" applyProtection="0">
      <alignment vertical="center" wrapText="1"/>
    </xf>
    <xf numFmtId="14" fontId="4" fillId="7" borderId="3" applyNumberFormat="1" applyFont="1" applyFill="1" applyBorder="1" applyAlignment="1" applyProtection="0">
      <alignment horizontal="right" vertical="center" wrapText="1"/>
    </xf>
    <xf numFmtId="0" fontId="0" borderId="3" applyNumberFormat="0" applyFont="1" applyFill="0" applyBorder="1" applyAlignment="1" applyProtection="0">
      <alignment vertical="center" wrapText="1"/>
    </xf>
    <xf numFmtId="49" fontId="4" fillId="7" borderId="3" applyNumberFormat="1" applyFont="1" applyFill="1" applyBorder="1" applyAlignment="1" applyProtection="0">
      <alignment vertical="bottom" wrapText="1"/>
    </xf>
    <xf numFmtId="0" fontId="4" fillId="7" borderId="3" applyNumberFormat="1" applyFont="1" applyFill="1" applyBorder="1" applyAlignment="1" applyProtection="0">
      <alignment vertical="bottom" wrapText="1"/>
    </xf>
    <xf numFmtId="4" fontId="4" fillId="7" borderId="3" applyNumberFormat="1" applyFont="1" applyFill="1" applyBorder="1" applyAlignment="1" applyProtection="0">
      <alignment vertical="bottom" wrapText="1"/>
    </xf>
    <xf numFmtId="14" fontId="4" fillId="7" borderId="3" applyNumberFormat="1" applyFont="1" applyFill="1" applyBorder="1" applyAlignment="1" applyProtection="0">
      <alignment horizontal="right" vertical="bottom" wrapText="1"/>
    </xf>
    <xf numFmtId="0" fontId="0" borderId="3" applyNumberFormat="0" applyFont="1" applyFill="0" applyBorder="1" applyAlignment="1" applyProtection="0">
      <alignment vertical="bottom" wrapText="1"/>
    </xf>
    <xf numFmtId="0" fontId="0" borderId="3" applyNumberFormat="1" applyFont="1" applyFill="0" applyBorder="1" applyAlignment="1" applyProtection="0">
      <alignment vertical="bottom" wrapText="1"/>
    </xf>
    <xf numFmtId="3" fontId="0" borderId="3" applyNumberFormat="1" applyFont="1" applyFill="0" applyBorder="1" applyAlignment="1" applyProtection="0">
      <alignment vertical="bottom" wrapText="1"/>
    </xf>
    <xf numFmtId="62" fontId="4" fillId="7" borderId="3" applyNumberFormat="1" applyFont="1" applyFill="1" applyBorder="1" applyAlignment="1" applyProtection="0">
      <alignment horizontal="right" vertical="bottom" wrapText="1"/>
    </xf>
    <xf numFmtId="0" fontId="4" fillId="7" borderId="3" applyNumberFormat="0" applyFont="1" applyFill="1" applyBorder="1" applyAlignment="1" applyProtection="0">
      <alignment horizontal="right" vertical="bottom" wrapText="1"/>
    </xf>
    <xf numFmtId="0" fontId="4" fillId="7" borderId="3" applyNumberFormat="0" applyFont="1" applyFill="1" applyBorder="1" applyAlignment="1" applyProtection="0">
      <alignment vertical="bottom" wrapText="1"/>
    </xf>
    <xf numFmtId="49" fontId="4" fillId="8" borderId="3" applyNumberFormat="1" applyFont="1" applyFill="1" applyBorder="1" applyAlignment="1" applyProtection="0">
      <alignment vertical="center" wrapText="1"/>
    </xf>
    <xf numFmtId="0" fontId="5" fillId="8" borderId="3" applyNumberFormat="0" applyFont="1" applyFill="1" applyBorder="1" applyAlignment="1" applyProtection="0">
      <alignment vertical="center" wrapText="1"/>
    </xf>
    <xf numFmtId="4" fontId="5" fillId="8" borderId="3" applyNumberFormat="1" applyFont="1" applyFill="1" applyBorder="1" applyAlignment="1" applyProtection="0">
      <alignment vertical="center" wrapText="1"/>
    </xf>
    <xf numFmtId="4" fontId="6" fillId="8" borderId="3" applyNumberFormat="1" applyFont="1" applyFill="1" applyBorder="1" applyAlignment="1" applyProtection="0">
      <alignment vertical="center" wrapText="1"/>
    </xf>
    <xf numFmtId="0" fontId="5" fillId="8" borderId="3" applyNumberFormat="0" applyFont="1" applyFill="1" applyBorder="1" applyAlignment="1" applyProtection="0">
      <alignment horizontal="right" vertical="center" wrapText="1"/>
    </xf>
    <xf numFmtId="0" fontId="4" borderId="3" applyNumberFormat="0" applyFont="1" applyFill="0" applyBorder="1" applyAlignment="1" applyProtection="0">
      <alignment vertical="center" wrapText="1"/>
    </xf>
    <xf numFmtId="4" fontId="4" borderId="3" applyNumberFormat="1" applyFont="1" applyFill="0" applyBorder="1" applyAlignment="1" applyProtection="0">
      <alignment vertical="center" wrapText="1"/>
    </xf>
    <xf numFmtId="0" fontId="4" fillId="3" borderId="3" applyNumberFormat="0" applyFont="1" applyFill="1" applyBorder="1" applyAlignment="1" applyProtection="0">
      <alignment vertical="center" wrapText="1"/>
    </xf>
    <xf numFmtId="0" fontId="4" fillId="3" borderId="3" applyNumberFormat="0" applyFont="1" applyFill="1" applyBorder="1" applyAlignment="1" applyProtection="0">
      <alignment horizontal="right" vertical="center" wrapText="1"/>
    </xf>
    <xf numFmtId="49" fontId="4" borderId="3" applyNumberFormat="1" applyFont="1" applyFill="0" applyBorder="1" applyAlignment="1" applyProtection="0">
      <alignment vertical="center" wrapText="1"/>
    </xf>
    <xf numFmtId="0" fontId="4" borderId="3" applyNumberFormat="1" applyFont="1" applyFill="0" applyBorder="1" applyAlignment="1" applyProtection="0">
      <alignment vertical="center" wrapText="1"/>
    </xf>
    <xf numFmtId="4" fontId="4" fillId="3" borderId="3" applyNumberFormat="1" applyFont="1" applyFill="1" applyBorder="1" applyAlignment="1" applyProtection="0">
      <alignment vertical="center" wrapText="1"/>
    </xf>
    <xf numFmtId="49" fontId="4" fillId="3" borderId="3" applyNumberFormat="1" applyFont="1" applyFill="1" applyBorder="1" applyAlignment="1" applyProtection="0">
      <alignment horizontal="right" vertical="center" wrapText="1"/>
    </xf>
    <xf numFmtId="0" fontId="4" borderId="4" applyNumberFormat="0" applyFont="1" applyFill="0" applyBorder="1" applyAlignment="1" applyProtection="0">
      <alignment vertical="center" wrapText="1"/>
    </xf>
    <xf numFmtId="4" fontId="4" borderId="4" applyNumberFormat="1" applyFont="1" applyFill="0" applyBorder="1" applyAlignment="1" applyProtection="0">
      <alignment vertical="center" wrapText="1"/>
    </xf>
    <xf numFmtId="0" fontId="4" fillId="3" borderId="4" applyNumberFormat="0" applyFont="1" applyFill="1" applyBorder="1" applyAlignment="1" applyProtection="0">
      <alignment vertical="center" wrapText="1"/>
    </xf>
    <xf numFmtId="0" fontId="4" fillId="3" borderId="4" applyNumberFormat="0" applyFont="1" applyFill="1" applyBorder="1" applyAlignment="1" applyProtection="0">
      <alignment horizontal="right" vertical="center" wrapText="1"/>
    </xf>
    <xf numFmtId="49" fontId="4" borderId="5" applyNumberFormat="1" applyFont="1" applyFill="0" applyBorder="1" applyAlignment="1" applyProtection="0">
      <alignment horizontal="left" vertical="center" wrapText="1"/>
    </xf>
    <xf numFmtId="0" fontId="0" borderId="6" applyNumberFormat="0" applyFont="1" applyFill="0" applyBorder="1" applyAlignment="1" applyProtection="0">
      <alignment vertical="center" wrapText="1"/>
    </xf>
    <xf numFmtId="63" fontId="4" fillId="9" borderId="6" applyNumberFormat="1" applyFont="1" applyFill="1" applyBorder="1" applyAlignment="1" applyProtection="0">
      <alignment vertical="center" wrapText="1"/>
    </xf>
    <xf numFmtId="63" fontId="4" fillId="10" borderId="6" applyNumberFormat="1" applyFont="1" applyFill="1" applyBorder="1" applyAlignment="1" applyProtection="0">
      <alignment vertical="center" wrapText="1"/>
    </xf>
    <xf numFmtId="49" fontId="4" fillId="11" borderId="7" applyNumberFormat="1" applyFont="1" applyFill="1" applyBorder="1" applyAlignment="1" applyProtection="0">
      <alignment horizontal="right" vertical="center" wrapText="1"/>
    </xf>
    <xf numFmtId="0" fontId="0" borderId="8" applyNumberFormat="0" applyFont="1" applyFill="0" applyBorder="1" applyAlignment="1" applyProtection="0">
      <alignment vertical="center" wrapText="1"/>
    </xf>
    <xf numFmtId="0" fontId="0" borderId="5" applyNumberFormat="0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horizontal="right" vertical="center" wrapText="1"/>
    </xf>
    <xf numFmtId="4" fontId="4" fillId="12" borderId="6" applyNumberFormat="1" applyFont="1" applyFill="1" applyBorder="1" applyAlignment="1" applyProtection="0">
      <alignment vertical="center" wrapText="1"/>
    </xf>
    <xf numFmtId="63" fontId="4" fillId="13" borderId="6" applyNumberFormat="1" applyFont="1" applyFill="1" applyBorder="1" applyAlignment="1" applyProtection="0">
      <alignment vertical="center" wrapText="1"/>
    </xf>
    <xf numFmtId="49" fontId="5" borderId="5" applyNumberFormat="1" applyFont="1" applyFill="0" applyBorder="1" applyAlignment="1" applyProtection="0">
      <alignment horizontal="left" vertical="center" wrapText="1"/>
    </xf>
    <xf numFmtId="4" fontId="5" fillId="12" borderId="6" applyNumberFormat="1" applyFont="1" applyFill="1" applyBorder="1" applyAlignment="1" applyProtection="0">
      <alignment vertical="center" wrapText="1"/>
    </xf>
    <xf numFmtId="63" fontId="5" fillId="14" borderId="6" applyNumberFormat="1" applyFont="1" applyFill="1" applyBorder="1" applyAlignment="1" applyProtection="0">
      <alignment vertical="center" wrapText="1"/>
    </xf>
    <xf numFmtId="0" fontId="0" borderId="9" applyNumberFormat="0" applyFont="1" applyFill="0" applyBorder="1" applyAlignment="1" applyProtection="0">
      <alignment vertical="center" wrapText="1"/>
    </xf>
    <xf numFmtId="0" fontId="0" borderId="10" applyNumberFormat="0" applyFont="1" applyFill="0" applyBorder="1" applyAlignment="1" applyProtection="0">
      <alignment vertical="center" wrapText="1"/>
    </xf>
    <xf numFmtId="0" fontId="0" borderId="11" applyNumberFormat="0" applyFont="1" applyFill="0" applyBorder="1" applyAlignment="1" applyProtection="0">
      <alignment horizontal="right" vertical="center" wrapText="1"/>
    </xf>
    <xf numFmtId="0" fontId="0" borderId="12" applyNumberFormat="0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center" wrapText="1"/>
    </xf>
    <xf numFmtId="0" fontId="0" borderId="13" applyNumberFormat="0" applyFont="1" applyFill="0" applyBorder="1" applyAlignment="1" applyProtection="0">
      <alignment horizontal="right" vertical="center" wrapText="1"/>
    </xf>
    <xf numFmtId="4" fontId="7" fillId="2" borderId="6" applyNumberFormat="1" applyFont="1" applyFill="1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center" wrapText="1"/>
    </xf>
    <xf numFmtId="4" fontId="5" fillId="15" borderId="5" applyNumberFormat="1" applyFont="1" applyFill="1" applyBorder="1" applyAlignment="1" applyProtection="0">
      <alignment vertical="center" wrapText="1"/>
    </xf>
    <xf numFmtId="4" fontId="0" borderId="10" applyNumberFormat="1" applyFont="1" applyFill="0" applyBorder="1" applyAlignment="1" applyProtection="0">
      <alignment vertical="center" wrapText="1"/>
    </xf>
    <xf numFmtId="0" fontId="4" fillId="3" borderId="10" applyNumberFormat="0" applyFont="1" applyFill="1" applyBorder="1" applyAlignment="1" applyProtection="0">
      <alignment vertical="center" wrapText="1"/>
    </xf>
    <xf numFmtId="0" fontId="4" fillId="3" borderId="10" applyNumberFormat="0" applyFont="1" applyFill="1" applyBorder="1" applyAlignment="1" applyProtection="0">
      <alignment horizontal="right" vertical="center" wrapText="1"/>
    </xf>
    <xf numFmtId="4" fontId="0" borderId="3" applyNumberFormat="1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8" fillId="16" borderId="14" applyNumberFormat="1" applyFont="1" applyFill="1" applyBorder="1" applyAlignment="1" applyProtection="0">
      <alignment vertical="top" wrapText="1"/>
    </xf>
    <xf numFmtId="0" fontId="0" fillId="16" borderId="15" applyNumberFormat="1" applyFont="1" applyFill="1" applyBorder="1" applyAlignment="1" applyProtection="0">
      <alignment vertical="top" wrapText="1"/>
    </xf>
    <xf numFmtId="3" fontId="0" fillId="16" borderId="2" applyNumberFormat="1" applyFont="1" applyFill="1" applyBorder="1" applyAlignment="1" applyProtection="0">
      <alignment vertical="top" wrapText="1"/>
    </xf>
    <xf numFmtId="59" fontId="0" fillId="16" borderId="2" applyNumberFormat="1" applyFont="1" applyFill="1" applyBorder="1" applyAlignment="1" applyProtection="0">
      <alignment vertical="top" wrapText="1"/>
    </xf>
    <xf numFmtId="0" fontId="0" fillId="16" borderId="2" applyNumberFormat="0" applyFont="1" applyFill="1" applyBorder="1" applyAlignment="1" applyProtection="0">
      <alignment vertical="top" wrapText="1"/>
    </xf>
    <xf numFmtId="49" fontId="8" fillId="16" borderId="16" applyNumberFormat="1" applyFont="1" applyFill="1" applyBorder="1" applyAlignment="1" applyProtection="0">
      <alignment vertical="top" wrapText="1"/>
    </xf>
    <xf numFmtId="0" fontId="0" fillId="16" borderId="17" applyNumberFormat="1" applyFont="1" applyFill="1" applyBorder="1" applyAlignment="1" applyProtection="0">
      <alignment vertical="top" wrapText="1"/>
    </xf>
    <xf numFmtId="3" fontId="0" fillId="16" borderId="3" applyNumberFormat="1" applyFont="1" applyFill="1" applyBorder="1" applyAlignment="1" applyProtection="0">
      <alignment vertical="top" wrapText="1"/>
    </xf>
    <xf numFmtId="59" fontId="0" fillId="16" borderId="3" applyNumberFormat="1" applyFont="1" applyFill="1" applyBorder="1" applyAlignment="1" applyProtection="0">
      <alignment vertical="top" wrapText="1"/>
    </xf>
    <xf numFmtId="0" fontId="0" fillId="16" borderId="3" applyNumberFormat="0" applyFont="1" applyFill="1" applyBorder="1" applyAlignment="1" applyProtection="0">
      <alignment vertical="top" wrapText="1"/>
    </xf>
    <xf numFmtId="49" fontId="0" fillId="16" borderId="3" applyNumberFormat="1" applyFont="1" applyFill="1" applyBorder="1" applyAlignment="1" applyProtection="0">
      <alignment vertical="top" wrapText="1"/>
    </xf>
    <xf numFmtId="49" fontId="8" fillId="3" borderId="16" applyNumberFormat="1" applyFont="1" applyFill="1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vertical="top" wrapText="1"/>
    </xf>
    <xf numFmtId="3" fontId="0" borderId="3" applyNumberFormat="1" applyFont="1" applyFill="0" applyBorder="1" applyAlignment="1" applyProtection="0">
      <alignment vertical="top" wrapText="1"/>
    </xf>
    <xf numFmtId="60" fontId="0" borderId="3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61" fontId="0" borderId="3" applyNumberFormat="1" applyFont="1" applyFill="0" applyBorder="1" applyAlignment="1" applyProtection="0">
      <alignment vertical="top" wrapText="1"/>
    </xf>
    <xf numFmtId="49" fontId="8" fillId="6" borderId="16" applyNumberFormat="1" applyFont="1" applyFill="1" applyBorder="1" applyAlignment="1" applyProtection="0">
      <alignment vertical="top" wrapText="1"/>
    </xf>
    <xf numFmtId="0" fontId="0" fillId="6" borderId="17" applyNumberFormat="1" applyFont="1" applyFill="1" applyBorder="1" applyAlignment="1" applyProtection="0">
      <alignment vertical="top" wrapText="1"/>
    </xf>
    <xf numFmtId="3" fontId="0" fillId="6" borderId="3" applyNumberFormat="1" applyFont="1" applyFill="1" applyBorder="1" applyAlignment="1" applyProtection="0">
      <alignment vertical="top" wrapText="1"/>
    </xf>
    <xf numFmtId="60" fontId="0" fillId="6" borderId="3" applyNumberFormat="1" applyFont="1" applyFill="1" applyBorder="1" applyAlignment="1" applyProtection="0">
      <alignment vertical="top" wrapText="1"/>
    </xf>
    <xf numFmtId="0" fontId="0" fillId="6" borderId="3" applyNumberFormat="0" applyFont="1" applyFill="1" applyBorder="1" applyAlignment="1" applyProtection="0">
      <alignment vertical="top" wrapText="1"/>
    </xf>
    <xf numFmtId="61" fontId="0" fillId="6" borderId="3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8" fillId="3" borderId="16" applyNumberFormat="0" applyFont="1" applyFill="1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49" fontId="10" fillId="17" borderId="16" applyNumberFormat="1" applyFont="1" applyFill="1" applyBorder="1" applyAlignment="1" applyProtection="0">
      <alignment vertical="top" wrapText="1"/>
    </xf>
    <xf numFmtId="0" fontId="0" fillId="17" borderId="17" applyNumberFormat="0" applyFont="1" applyFill="1" applyBorder="1" applyAlignment="1" applyProtection="0">
      <alignment vertical="top" wrapText="1"/>
    </xf>
    <xf numFmtId="0" fontId="0" fillId="17" borderId="3" applyNumberFormat="0" applyFont="1" applyFill="1" applyBorder="1" applyAlignment="1" applyProtection="0">
      <alignment vertical="top" wrapText="1"/>
    </xf>
    <xf numFmtId="4" fontId="11" fillId="17" borderId="3" applyNumberFormat="1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10" fillId="3" borderId="16" applyNumberFormat="0" applyFont="1" applyFill="1" applyBorder="1" applyAlignment="1" applyProtection="0">
      <alignment vertical="top" wrapText="1"/>
    </xf>
    <xf numFmtId="4" fontId="3" borderId="3" applyNumberFormat="1" applyFont="1" applyFill="0" applyBorder="1" applyAlignment="1" applyProtection="0">
      <alignment vertical="top" wrapText="1"/>
    </xf>
    <xf numFmtId="0" fontId="10" fillId="3" borderId="18" applyNumberFormat="0" applyFont="1" applyFill="1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" fontId="3" borderId="4" applyNumberFormat="1" applyFont="1" applyFill="0" applyBorder="1" applyAlignment="1" applyProtection="0">
      <alignment vertical="top" wrapText="1"/>
    </xf>
    <xf numFmtId="49" fontId="4" fillId="3" borderId="20" applyNumberFormat="1" applyFont="1" applyFill="1" applyBorder="1" applyAlignment="1" applyProtection="0">
      <alignment horizontal="left" vertical="center" wrapText="1"/>
    </xf>
    <xf numFmtId="0" fontId="0" borderId="21" applyNumberFormat="0" applyFont="1" applyFill="0" applyBorder="1" applyAlignment="1" applyProtection="0">
      <alignment vertical="center" wrapText="1"/>
    </xf>
    <xf numFmtId="4" fontId="4" fillId="9" borderId="6" applyNumberFormat="1" applyFont="1" applyFill="1" applyBorder="1" applyAlignment="1" applyProtection="0">
      <alignment vertical="center" wrapText="1"/>
    </xf>
    <xf numFmtId="3" fontId="4" fillId="10" borderId="6" applyNumberFormat="1" applyFont="1" applyFill="1" applyBorder="1" applyAlignment="1" applyProtection="0">
      <alignment vertical="center" wrapText="1"/>
    </xf>
    <xf numFmtId="0" fontId="4" fillId="11" borderId="22" applyNumberFormat="0" applyFont="1" applyFill="1" applyBorder="1" applyAlignment="1" applyProtection="0">
      <alignment horizontal="right" vertical="center" wrapText="1"/>
    </xf>
    <xf numFmtId="0" fontId="8" fillId="3" borderId="20" applyNumberFormat="0" applyFont="1" applyFill="1" applyBorder="1" applyAlignment="1" applyProtection="0">
      <alignment vertical="center" wrapText="1"/>
    </xf>
    <xf numFmtId="0" fontId="0" borderId="22" applyNumberFormat="0" applyFont="1" applyFill="0" applyBorder="1" applyAlignment="1" applyProtection="0">
      <alignment horizontal="right" vertical="center" wrapText="1"/>
    </xf>
    <xf numFmtId="0" fontId="4" fillId="9" borderId="6" applyNumberFormat="0" applyFont="1" applyFill="1" applyBorder="1" applyAlignment="1" applyProtection="0">
      <alignment vertical="center" wrapText="1"/>
    </xf>
    <xf numFmtId="0" fontId="4" fillId="11" borderId="7" applyNumberFormat="0" applyFont="1" applyFill="1" applyBorder="1" applyAlignment="1" applyProtection="0">
      <alignment horizontal="right" vertical="center" wrapText="1"/>
    </xf>
    <xf numFmtId="3" fontId="0" borderId="6" applyNumberFormat="1" applyFont="1" applyFill="0" applyBorder="1" applyAlignment="1" applyProtection="0">
      <alignment vertical="center" wrapText="1"/>
    </xf>
    <xf numFmtId="3" fontId="4" fillId="13" borderId="6" applyNumberFormat="1" applyFont="1" applyFill="1" applyBorder="1" applyAlignment="1" applyProtection="0">
      <alignment vertical="center" wrapText="1"/>
    </xf>
    <xf numFmtId="3" fontId="4" fillId="18" borderId="6" applyNumberFormat="1" applyFont="1" applyFill="1" applyBorder="1" applyAlignment="1" applyProtection="0">
      <alignment vertical="center" wrapText="1"/>
    </xf>
    <xf numFmtId="0" fontId="8" fillId="3" borderId="23" applyNumberFormat="0" applyFont="1" applyFill="1" applyBorder="1" applyAlignment="1" applyProtection="0">
      <alignment vertical="center" wrapText="1"/>
    </xf>
    <xf numFmtId="0" fontId="0" borderId="24" applyNumberFormat="0" applyFont="1" applyFill="0" applyBorder="1" applyAlignment="1" applyProtection="0">
      <alignment vertical="center" wrapText="1"/>
    </xf>
    <xf numFmtId="0" fontId="0" borderId="25" applyNumberFormat="0" applyFont="1" applyFill="0" applyBorder="1" applyAlignment="1" applyProtection="0">
      <alignment horizontal="right" vertical="center" wrapText="1"/>
    </xf>
    <xf numFmtId="0" fontId="4" fillId="3" borderId="26" applyNumberFormat="0" applyFont="1" applyFill="1" applyBorder="1" applyAlignment="1" applyProtection="0">
      <alignment vertical="center" wrapText="1"/>
    </xf>
    <xf numFmtId="0" fontId="0" borderId="17" applyNumberFormat="0" applyFont="1" applyFill="0" applyBorder="1" applyAlignment="1" applyProtection="0">
      <alignment vertical="center" wrapText="1"/>
    </xf>
    <xf numFmtId="3" fontId="4" borderId="3" applyNumberFormat="1" applyFont="1" applyFill="0" applyBorder="1" applyAlignment="1" applyProtection="0">
      <alignment vertical="center" wrapText="1"/>
    </xf>
    <xf numFmtId="0" fontId="0" borderId="27" applyNumberFormat="0" applyFont="1" applyFill="0" applyBorder="1" applyAlignment="1" applyProtection="0">
      <alignment horizontal="right" vertical="center" wrapText="1"/>
    </xf>
    <xf numFmtId="0" fontId="0" borderId="28" applyNumberFormat="0" applyFont="1" applyFill="0" applyBorder="1" applyAlignment="1" applyProtection="0">
      <alignment horizontal="right" vertical="center" wrapText="1"/>
    </xf>
    <xf numFmtId="0" fontId="8" fillId="3" borderId="29" applyNumberFormat="0" applyFont="1" applyFill="1" applyBorder="1" applyAlignment="1" applyProtection="0">
      <alignment vertical="center" wrapText="1"/>
    </xf>
    <xf numFmtId="0" fontId="0" borderId="19" applyNumberFormat="0" applyFont="1" applyFill="0" applyBorder="1" applyAlignment="1" applyProtection="0">
      <alignment vertical="center" wrapText="1"/>
    </xf>
    <xf numFmtId="0" fontId="0" borderId="30" applyNumberFormat="0" applyFont="1" applyFill="0" applyBorder="1" applyAlignment="1" applyProtection="0">
      <alignment horizontal="right" vertical="center" wrapText="1"/>
    </xf>
    <xf numFmtId="49" fontId="5" fillId="3" borderId="20" applyNumberFormat="1" applyFont="1" applyFill="1" applyBorder="1" applyAlignment="1" applyProtection="0">
      <alignment horizontal="left" vertical="center" wrapText="1"/>
    </xf>
    <xf numFmtId="3" fontId="5" fillId="12" borderId="6" applyNumberFormat="1" applyFont="1" applyFill="1" applyBorder="1" applyAlignment="1" applyProtection="0">
      <alignment vertical="center" wrapText="1"/>
    </xf>
    <xf numFmtId="3" fontId="5" fillId="14" borderId="6" applyNumberFormat="1" applyFont="1" applyFill="1" applyBorder="1" applyAlignment="1" applyProtection="0">
      <alignment vertical="center" wrapText="1"/>
    </xf>
    <xf numFmtId="0" fontId="5" fillId="15" borderId="5" applyNumberFormat="1" applyFont="1" applyFill="1" applyBorder="1" applyAlignment="1" applyProtection="0">
      <alignment vertical="center" wrapText="1"/>
    </xf>
    <xf numFmtId="0" fontId="10" fillId="3" borderId="31" applyNumberFormat="0" applyFont="1" applyFill="1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4" fontId="3" borderId="10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8" fillId="19" borderId="32" applyNumberFormat="1" applyFont="1" applyFill="1" applyBorder="1" applyAlignment="1" applyProtection="0">
      <alignment vertical="top" wrapText="1"/>
    </xf>
    <xf numFmtId="49" fontId="8" fillId="19" borderId="33" applyNumberFormat="1" applyFont="1" applyFill="1" applyBorder="1" applyAlignment="1" applyProtection="0">
      <alignment vertical="top" wrapText="1"/>
    </xf>
    <xf numFmtId="49" fontId="8" fillId="19" borderId="1" applyNumberFormat="1" applyFont="1" applyFill="1" applyBorder="1" applyAlignment="1" applyProtection="0">
      <alignment vertical="top" wrapText="1"/>
    </xf>
    <xf numFmtId="49" fontId="8" fillId="20" borderId="34" applyNumberFormat="1" applyFont="1" applyFill="1" applyBorder="1" applyAlignment="1" applyProtection="0">
      <alignment vertical="top" wrapText="1"/>
    </xf>
    <xf numFmtId="0" fontId="8" fillId="20" borderId="35" applyNumberFormat="1" applyFont="1" applyFill="1" applyBorder="1" applyAlignment="1" applyProtection="0">
      <alignment vertical="top" wrapText="1"/>
    </xf>
    <xf numFmtId="0" fontId="8" fillId="20" borderId="2" applyNumberFormat="1" applyFont="1" applyFill="1" applyBorder="1" applyAlignment="1" applyProtection="0">
      <alignment vertical="top" wrapText="1"/>
    </xf>
    <xf numFmtId="49" fontId="8" fillId="20" borderId="36" applyNumberFormat="1" applyFont="1" applyFill="1" applyBorder="1" applyAlignment="1" applyProtection="0">
      <alignment vertical="top" wrapText="1"/>
    </xf>
    <xf numFmtId="0" fontId="8" fillId="20" borderId="37" applyNumberFormat="1" applyFont="1" applyFill="1" applyBorder="1" applyAlignment="1" applyProtection="0">
      <alignment vertical="top" wrapText="1"/>
    </xf>
    <xf numFmtId="3" fontId="8" fillId="20" borderId="3" applyNumberFormat="1" applyFont="1" applyFill="1" applyBorder="1" applyAlignment="1" applyProtection="0">
      <alignment vertical="top" wrapText="1"/>
    </xf>
    <xf numFmtId="0" fontId="8" fillId="20" borderId="3" applyNumberFormat="1" applyFont="1" applyFill="1" applyBorder="1" applyAlignment="1" applyProtection="0">
      <alignment vertical="top" wrapText="1"/>
    </xf>
    <xf numFmtId="49" fontId="8" fillId="20" borderId="32" applyNumberFormat="1" applyFont="1" applyFill="1" applyBorder="1" applyAlignment="1" applyProtection="0">
      <alignment vertical="top" wrapText="1"/>
    </xf>
    <xf numFmtId="0" fontId="8" fillId="20" borderId="33" applyNumberFormat="1" applyFont="1" applyFill="1" applyBorder="1" applyAlignment="1" applyProtection="0">
      <alignment vertical="top" wrapText="1"/>
    </xf>
    <xf numFmtId="0" fontId="8" fillId="20" borderId="1" applyNumberFormat="1" applyFont="1" applyFill="1" applyBorder="1" applyAlignment="1" applyProtection="0">
      <alignment vertical="top" wrapText="1"/>
    </xf>
    <xf numFmtId="49" fontId="8" fillId="3" borderId="34" applyNumberFormat="1" applyFont="1" applyFill="1" applyBorder="1" applyAlignment="1" applyProtection="0">
      <alignment vertical="top" wrapText="1"/>
    </xf>
    <xf numFmtId="0" fontId="8" fillId="3" borderId="35" applyNumberFormat="1" applyFont="1" applyFill="1" applyBorder="1" applyAlignment="1" applyProtection="0">
      <alignment vertical="top" wrapText="1"/>
    </xf>
    <xf numFmtId="3" fontId="8" fillId="3" borderId="2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3" fillId="17" borderId="38" applyNumberFormat="1" applyFont="1" applyFill="1" applyBorder="1" applyAlignment="1" applyProtection="0">
      <alignment horizontal="center" vertical="top" wrapText="1"/>
    </xf>
    <xf numFmtId="0" fontId="8" fillId="19" borderId="39" applyNumberFormat="0" applyFont="1" applyFill="1" applyBorder="1" applyAlignment="1" applyProtection="0">
      <alignment vertical="top" wrapText="1"/>
    </xf>
    <xf numFmtId="0" fontId="8" fillId="19" borderId="1" applyNumberFormat="0" applyFont="1" applyFill="1" applyBorder="1" applyAlignment="1" applyProtection="0">
      <alignment vertical="top" wrapText="1"/>
    </xf>
    <xf numFmtId="49" fontId="0" fillId="7" borderId="38" applyNumberFormat="1" applyFont="1" applyFill="1" applyBorder="1" applyAlignment="1" applyProtection="0">
      <alignment vertical="top" wrapText="1"/>
    </xf>
    <xf numFmtId="3" fontId="1" fillId="7" borderId="38" applyNumberFormat="1" applyFont="1" applyFill="1" applyBorder="1" applyAlignment="1" applyProtection="0">
      <alignment vertical="top" wrapText="1"/>
    </xf>
    <xf numFmtId="4" fontId="1" fillId="7" borderId="38" applyNumberFormat="1" applyFont="1" applyFill="1" applyBorder="1" applyAlignment="1" applyProtection="0">
      <alignment vertical="top" wrapText="1"/>
    </xf>
    <xf numFmtId="49" fontId="1" fillId="7" borderId="38" applyNumberFormat="1" applyFont="1" applyFill="1" applyBorder="1" applyAlignment="1" applyProtection="0">
      <alignment vertical="top" wrapText="1"/>
    </xf>
    <xf numFmtId="14" fontId="1" fillId="7" borderId="38" applyNumberFormat="1" applyFont="1" applyFill="1" applyBorder="1" applyAlignment="1" applyProtection="0">
      <alignment vertical="top" wrapText="1"/>
    </xf>
    <xf numFmtId="0" fontId="0" borderId="40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41" applyNumberFormat="0" applyFont="1" applyFill="0" applyBorder="1" applyAlignment="1" applyProtection="0">
      <alignment vertical="top" wrapText="1"/>
    </xf>
    <xf numFmtId="49" fontId="0" fillId="4" borderId="38" applyNumberFormat="1" applyFont="1" applyFill="1" applyBorder="1" applyAlignment="1" applyProtection="0">
      <alignment vertical="top" wrapText="1"/>
    </xf>
    <xf numFmtId="3" fontId="1" fillId="4" borderId="38" applyNumberFormat="1" applyFont="1" applyFill="1" applyBorder="1" applyAlignment="1" applyProtection="0">
      <alignment vertical="top" wrapText="1"/>
    </xf>
    <xf numFmtId="4" fontId="1" fillId="4" borderId="38" applyNumberFormat="1" applyFont="1" applyFill="1" applyBorder="1" applyAlignment="1" applyProtection="0">
      <alignment vertical="top" wrapText="1"/>
    </xf>
    <xf numFmtId="14" fontId="1" fillId="4" borderId="38" applyNumberFormat="1" applyFont="1" applyFill="1" applyBorder="1" applyAlignment="1" applyProtection="0">
      <alignment vertical="top" wrapText="1"/>
    </xf>
    <xf numFmtId="49" fontId="0" fillId="21" borderId="38" applyNumberFormat="1" applyFont="1" applyFill="1" applyBorder="1" applyAlignment="1" applyProtection="0">
      <alignment vertical="top" wrapText="1"/>
    </xf>
    <xf numFmtId="3" fontId="1" fillId="21" borderId="38" applyNumberFormat="1" applyFont="1" applyFill="1" applyBorder="1" applyAlignment="1" applyProtection="0">
      <alignment vertical="top" wrapText="1"/>
    </xf>
    <xf numFmtId="4" fontId="1" fillId="21" borderId="38" applyNumberFormat="1" applyFont="1" applyFill="1" applyBorder="1" applyAlignment="1" applyProtection="0">
      <alignment vertical="top" wrapText="1"/>
    </xf>
    <xf numFmtId="14" fontId="1" fillId="21" borderId="38" applyNumberFormat="1" applyFont="1" applyFill="1" applyBorder="1" applyAlignment="1" applyProtection="0">
      <alignment vertical="top" wrapText="1"/>
    </xf>
    <xf numFmtId="49" fontId="1" fillId="21" borderId="38" applyNumberFormat="1" applyFont="1" applyFill="1" applyBorder="1" applyAlignment="1" applyProtection="0">
      <alignment vertical="top" wrapText="1"/>
    </xf>
    <xf numFmtId="59" fontId="1" fillId="21" borderId="38" applyNumberFormat="1" applyFont="1" applyFill="1" applyBorder="1" applyAlignment="1" applyProtection="0">
      <alignment vertical="top" wrapText="1"/>
    </xf>
    <xf numFmtId="0" fontId="0" fillId="21" borderId="38" applyNumberFormat="0" applyFont="1" applyFill="1" applyBorder="1" applyAlignment="1" applyProtection="0">
      <alignment vertical="top" wrapText="1"/>
    </xf>
    <xf numFmtId="0" fontId="1" fillId="21" borderId="38" applyNumberFormat="0" applyFont="1" applyFill="1" applyBorder="1" applyAlignment="1" applyProtection="0">
      <alignment vertical="top" wrapText="1"/>
    </xf>
    <xf numFmtId="49" fontId="3" fillId="8" borderId="42" applyNumberFormat="1" applyFont="1" applyFill="1" applyBorder="1" applyAlignment="1" applyProtection="0">
      <alignment vertical="top" wrapText="1"/>
    </xf>
    <xf numFmtId="0" fontId="0" fillId="8" borderId="42" applyNumberFormat="0" applyFont="1" applyFill="1" applyBorder="1" applyAlignment="1" applyProtection="0">
      <alignment vertical="top" wrapText="1"/>
    </xf>
    <xf numFmtId="3" fontId="12" fillId="8" borderId="42" applyNumberFormat="1" applyFont="1" applyFill="1" applyBorder="1" applyAlignment="1" applyProtection="0">
      <alignment vertical="top" wrapText="1"/>
    </xf>
    <xf numFmtId="0" fontId="0" borderId="27" applyNumberFormat="0" applyFont="1" applyFill="0" applyBorder="1" applyAlignment="1" applyProtection="0">
      <alignment vertical="top" wrapText="1"/>
    </xf>
    <xf numFmtId="49" fontId="13" borderId="9" applyNumberFormat="1" applyFont="1" applyFill="0" applyBorder="1" applyAlignment="1" applyProtection="0">
      <alignment horizontal="left" vertical="bottom" wrapText="1"/>
    </xf>
    <xf numFmtId="0" fontId="0" borderId="10" applyNumberFormat="0" applyFont="1" applyFill="0" applyBorder="1" applyAlignment="1" applyProtection="0">
      <alignment vertical="bottom" wrapText="1"/>
    </xf>
    <xf numFmtId="64" fontId="4" fillId="10" borderId="6" applyNumberFormat="1" applyFont="1" applyFill="1" applyBorder="1" applyAlignment="1" applyProtection="0">
      <alignment vertical="center" wrapText="1"/>
    </xf>
    <xf numFmtId="0" fontId="0" borderId="8" applyNumberFormat="0" applyFont="1" applyFill="0" applyBorder="1" applyAlignment="1" applyProtection="0">
      <alignment vertical="bottom" wrapText="1"/>
    </xf>
    <xf numFmtId="49" fontId="13" borderId="8" applyNumberFormat="1" applyFont="1" applyFill="0" applyBorder="1" applyAlignment="1" applyProtection="0">
      <alignment horizontal="left" vertical="bottom" wrapText="1"/>
    </xf>
    <xf numFmtId="0" fontId="4" fillId="10" borderId="6" applyNumberFormat="0" applyFont="1" applyFill="1" applyBorder="1" applyAlignment="1" applyProtection="0">
      <alignment vertical="center" wrapText="1"/>
    </xf>
    <xf numFmtId="0" fontId="0" borderId="11" applyNumberFormat="0" applyFont="1" applyFill="0" applyBorder="1" applyAlignment="1" applyProtection="0">
      <alignment vertical="bottom" wrapText="1"/>
    </xf>
    <xf numFmtId="0" fontId="0" borderId="27" applyNumberFormat="0" applyFont="1" applyFill="0" applyBorder="1" applyAlignment="1" applyProtection="0">
      <alignment vertical="bottom" wrapText="1"/>
    </xf>
    <xf numFmtId="0" fontId="0" borderId="4" applyNumberFormat="0" applyFont="1" applyFill="0" applyBorder="1" applyAlignment="1" applyProtection="0">
      <alignment vertical="bottom" wrapText="1"/>
    </xf>
    <xf numFmtId="4" fontId="14" fillId="22" borderId="3" applyNumberFormat="1" applyFont="1" applyFill="1" applyBorder="1" applyAlignment="1" applyProtection="0">
      <alignment vertical="bottom" wrapText="1"/>
    </xf>
    <xf numFmtId="3" fontId="7" fillId="2" borderId="6" applyNumberFormat="1" applyFont="1" applyFill="1" applyBorder="1" applyAlignment="1" applyProtection="0">
      <alignment vertical="center" wrapText="1"/>
    </xf>
    <xf numFmtId="0" fontId="0" borderId="6" applyNumberFormat="0" applyFont="1" applyFill="0" applyBorder="1" applyAlignment="1" applyProtection="0">
      <alignment vertical="bottom" wrapText="1"/>
    </xf>
    <xf numFmtId="49" fontId="13" borderId="12" applyNumberFormat="1" applyFont="1" applyFill="0" applyBorder="1" applyAlignment="1" applyProtection="0">
      <alignment horizontal="left" vertical="bottom" wrapText="1"/>
    </xf>
    <xf numFmtId="0" fontId="0" borderId="13" applyNumberFormat="0" applyFont="1" applyFill="0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top" wrapText="1"/>
    </xf>
    <xf numFmtId="49" fontId="3" fillId="17" borderId="43" applyNumberFormat="1" applyFont="1" applyFill="1" applyBorder="1" applyAlignment="1" applyProtection="0">
      <alignment horizontal="center" vertical="top" wrapText="1"/>
    </xf>
    <xf numFmtId="49" fontId="8" fillId="6" borderId="14" applyNumberFormat="1" applyFont="1" applyFill="1" applyBorder="1" applyAlignment="1" applyProtection="0">
      <alignment vertical="top" wrapText="1"/>
    </xf>
    <xf numFmtId="0" fontId="0" fillId="6" borderId="15" applyNumberFormat="1" applyFont="1" applyFill="1" applyBorder="1" applyAlignment="1" applyProtection="0">
      <alignment vertical="top" wrapText="1"/>
    </xf>
    <xf numFmtId="4" fontId="0" fillId="6" borderId="2" applyNumberFormat="1" applyFont="1" applyFill="1" applyBorder="1" applyAlignment="1" applyProtection="0">
      <alignment vertical="top" wrapText="1"/>
    </xf>
    <xf numFmtId="60" fontId="0" fillId="6" borderId="2" applyNumberFormat="1" applyFont="1" applyFill="1" applyBorder="1" applyAlignment="1" applyProtection="0">
      <alignment vertical="top" wrapText="1"/>
    </xf>
    <xf numFmtId="0" fontId="0" fillId="6" borderId="2" applyNumberFormat="0" applyFont="1" applyFill="1" applyBorder="1" applyAlignment="1" applyProtection="0">
      <alignment vertical="top" wrapText="1"/>
    </xf>
    <xf numFmtId="4" fontId="0" fillId="6" borderId="3" applyNumberFormat="1" applyFont="1" applyFill="1" applyBorder="1" applyAlignment="1" applyProtection="0">
      <alignment vertical="top" wrapText="1"/>
    </xf>
    <xf numFmtId="49" fontId="8" fillId="5" borderId="16" applyNumberFormat="1" applyFont="1" applyFill="1" applyBorder="1" applyAlignment="1" applyProtection="0">
      <alignment vertical="top" wrapText="1"/>
    </xf>
    <xf numFmtId="0" fontId="0" fillId="5" borderId="17" applyNumberFormat="1" applyFont="1" applyFill="1" applyBorder="1" applyAlignment="1" applyProtection="0">
      <alignment vertical="top" wrapText="1"/>
    </xf>
    <xf numFmtId="4" fontId="0" fillId="5" borderId="3" applyNumberFormat="1" applyFont="1" applyFill="1" applyBorder="1" applyAlignment="1" applyProtection="0">
      <alignment vertical="top" wrapText="1"/>
    </xf>
    <xf numFmtId="59" fontId="0" fillId="5" borderId="3" applyNumberFormat="1" applyFont="1" applyFill="1" applyBorder="1" applyAlignment="1" applyProtection="0">
      <alignment vertical="top" wrapText="1"/>
    </xf>
    <xf numFmtId="49" fontId="0" fillId="5" borderId="3" applyNumberFormat="1" applyFont="1" applyFill="1" applyBorder="1" applyAlignment="1" applyProtection="0">
      <alignment vertical="top" wrapText="1"/>
    </xf>
    <xf numFmtId="0" fontId="0" fillId="5" borderId="3" applyNumberFormat="0" applyFont="1" applyFill="1" applyBorder="1" applyAlignment="1" applyProtection="0">
      <alignment vertical="top" wrapText="1"/>
    </xf>
    <xf numFmtId="49" fontId="8" fillId="23" borderId="16" applyNumberFormat="1" applyFont="1" applyFill="1" applyBorder="1" applyAlignment="1" applyProtection="0">
      <alignment vertical="top" wrapText="1"/>
    </xf>
    <xf numFmtId="0" fontId="0" fillId="23" borderId="17" applyNumberFormat="1" applyFont="1" applyFill="1" applyBorder="1" applyAlignment="1" applyProtection="0">
      <alignment vertical="top" wrapText="1"/>
    </xf>
    <xf numFmtId="4" fontId="0" fillId="23" borderId="3" applyNumberFormat="1" applyFont="1" applyFill="1" applyBorder="1" applyAlignment="1" applyProtection="0">
      <alignment vertical="top" wrapText="1"/>
    </xf>
    <xf numFmtId="59" fontId="0" fillId="23" borderId="3" applyNumberFormat="1" applyFont="1" applyFill="1" applyBorder="1" applyAlignment="1" applyProtection="0">
      <alignment vertical="top" wrapText="1"/>
    </xf>
    <xf numFmtId="0" fontId="0" fillId="23" borderId="3" applyNumberFormat="0" applyFont="1" applyFill="1" applyBorder="1" applyAlignment="1" applyProtection="0">
      <alignment vertical="top" wrapText="1"/>
    </xf>
    <xf numFmtId="49" fontId="0" fillId="23" borderId="3" applyNumberFormat="1" applyFont="1" applyFill="1" applyBorder="1" applyAlignment="1" applyProtection="0">
      <alignment vertical="top" wrapText="1"/>
    </xf>
    <xf numFmtId="49" fontId="8" fillId="20" borderId="16" applyNumberFormat="1" applyFont="1" applyFill="1" applyBorder="1" applyAlignment="1" applyProtection="0">
      <alignment vertical="top" wrapText="1"/>
    </xf>
    <xf numFmtId="4" fontId="0" borderId="3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8" fillId="20" borderId="16" applyNumberFormat="0" applyFont="1" applyFill="1" applyBorder="1" applyAlignment="1" applyProtection="0">
      <alignment vertical="top" wrapText="1"/>
    </xf>
    <xf numFmtId="49" fontId="5" fillId="20" borderId="16" applyNumberFormat="1" applyFont="1" applyFill="1" applyBorder="1" applyAlignment="1" applyProtection="0">
      <alignment vertical="top" wrapText="1"/>
    </xf>
    <xf numFmtId="4" fontId="6" borderId="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8" fillId="20" borderId="14" applyNumberFormat="1" applyFont="1" applyFill="1" applyBorder="1" applyAlignment="1" applyProtection="0">
      <alignment vertical="top" wrapText="1"/>
    </xf>
    <xf numFmtId="60" fontId="0" borderId="15" applyNumberFormat="1" applyFont="1" applyFill="0" applyBorder="1" applyAlignment="1" applyProtection="0">
      <alignment vertical="top" wrapText="1"/>
    </xf>
    <xf numFmtId="4" fontId="0" borderId="2" applyNumberFormat="1" applyFont="1" applyFill="0" applyBorder="1" applyAlignment="1" applyProtection="0">
      <alignment vertical="top" wrapText="1"/>
    </xf>
    <xf numFmtId="64" fontId="0" borderId="2" applyNumberFormat="1" applyFont="1" applyFill="0" applyBorder="1" applyAlignment="1" applyProtection="0">
      <alignment vertical="top" wrapText="1"/>
    </xf>
    <xf numFmtId="60" fontId="0" borderId="17" applyNumberFormat="1" applyFont="1" applyFill="0" applyBorder="1" applyAlignment="1" applyProtection="0">
      <alignment vertical="top" wrapText="1"/>
    </xf>
    <xf numFmtId="64" fontId="0" borderId="3" applyNumberFormat="1" applyFont="1" applyFill="0" applyBorder="1" applyAlignment="1" applyProtection="0">
      <alignment vertical="top" wrapText="1"/>
    </xf>
    <xf numFmtId="59" fontId="0" borderId="17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8" fillId="20" borderId="44" applyNumberFormat="0" applyFont="1" applyFill="1" applyBorder="1" applyAlignment="1" applyProtection="0">
      <alignment vertical="top" wrapText="1"/>
    </xf>
    <xf numFmtId="0" fontId="0" borderId="45" applyNumberFormat="0" applyFont="1" applyFill="0" applyBorder="1" applyAlignment="1" applyProtection="0">
      <alignment vertical="top" wrapText="1"/>
    </xf>
    <xf numFmtId="4" fontId="0" borderId="46" applyNumberFormat="1" applyFont="1" applyFill="0" applyBorder="1" applyAlignment="1" applyProtection="0">
      <alignment vertical="top" wrapText="1"/>
    </xf>
    <xf numFmtId="64" fontId="0" borderId="46" applyNumberFormat="1" applyFont="1" applyFill="0" applyBorder="1" applyAlignment="1" applyProtection="0">
      <alignment vertical="top" wrapText="1"/>
    </xf>
    <xf numFmtId="49" fontId="8" fillId="20" borderId="47" applyNumberFormat="1" applyFont="1" applyFill="1" applyBorder="1" applyAlignment="1" applyProtection="0">
      <alignment vertical="top" wrapText="1"/>
    </xf>
    <xf numFmtId="0" fontId="0" borderId="48" applyNumberFormat="0" applyFont="1" applyFill="0" applyBorder="1" applyAlignment="1" applyProtection="0">
      <alignment vertical="top" wrapText="1"/>
    </xf>
    <xf numFmtId="4" fontId="5" borderId="49" applyNumberFormat="1" applyFont="1" applyFill="0" applyBorder="1" applyAlignment="1" applyProtection="0">
      <alignment vertical="top" wrapText="1"/>
    </xf>
    <xf numFmtId="64" fontId="5" borderId="50" applyNumberFormat="1" applyFont="1" applyFill="0" applyBorder="1" applyAlignment="1" applyProtection="0">
      <alignment vertical="top" wrapText="1"/>
    </xf>
    <xf numFmtId="0" fontId="0" borderId="51" applyNumberFormat="0" applyFont="1" applyFill="0" applyBorder="1" applyAlignment="1" applyProtection="0">
      <alignment vertical="top" wrapText="1"/>
    </xf>
    <xf numFmtId="0" fontId="8" fillId="20" borderId="52" applyNumberFormat="0" applyFont="1" applyFill="1" applyBorder="1" applyAlignment="1" applyProtection="0">
      <alignment vertical="top" wrapText="1"/>
    </xf>
    <xf numFmtId="0" fontId="0" borderId="53" applyNumberFormat="0" applyFont="1" applyFill="0" applyBorder="1" applyAlignment="1" applyProtection="0">
      <alignment vertical="top" wrapText="1"/>
    </xf>
    <xf numFmtId="4" fontId="0" borderId="54" applyNumberFormat="1" applyFont="1" applyFill="0" applyBorder="1" applyAlignment="1" applyProtection="0">
      <alignment vertical="top" wrapText="1"/>
    </xf>
    <xf numFmtId="64" fontId="0" borderId="54" applyNumberFormat="1" applyFont="1" applyFill="0" applyBorder="1" applyAlignment="1" applyProtection="0">
      <alignment vertical="top" wrapText="1"/>
    </xf>
    <xf numFmtId="49" fontId="3" fillId="20" borderId="16" applyNumberFormat="1" applyFont="1" applyFill="1" applyBorder="1" applyAlignment="1" applyProtection="0">
      <alignment vertical="top" wrapText="1"/>
    </xf>
    <xf numFmtId="59" fontId="1" borderId="17" applyNumberFormat="1" applyFont="1" applyFill="0" applyBorder="1" applyAlignment="1" applyProtection="0">
      <alignment vertical="top" wrapText="1"/>
    </xf>
    <xf numFmtId="64" fontId="1" borderId="3" applyNumberFormat="1" applyFont="1" applyFill="0" applyBorder="1" applyAlignment="1" applyProtection="0">
      <alignment vertical="top" wrapText="1"/>
    </xf>
    <xf numFmtId="0" fontId="1" borderId="3" applyNumberFormat="0" applyFont="1" applyFill="0" applyBorder="1" applyAlignment="1" applyProtection="0">
      <alignment vertical="top" wrapText="1"/>
    </xf>
    <xf numFmtId="4" fontId="6" borderId="50" applyNumberFormat="1" applyFont="1" applyFill="0" applyBorder="1" applyAlignment="1" applyProtection="0">
      <alignment vertical="top" wrapText="1"/>
    </xf>
    <xf numFmtId="64" fontId="0" borderId="51" applyNumberFormat="1" applyFont="1" applyFill="0" applyBorder="1" applyAlignment="1" applyProtection="0">
      <alignment vertical="top" wrapText="1"/>
    </xf>
    <xf numFmtId="0" fontId="8" fillId="20" borderId="55" applyNumberFormat="0" applyFont="1" applyFill="1" applyBorder="1" applyAlignment="1" applyProtection="0">
      <alignment vertical="top" wrapText="1"/>
    </xf>
    <xf numFmtId="4" fontId="0" borderId="49" applyNumberFormat="1" applyFont="1" applyFill="0" applyBorder="1" applyAlignment="1" applyProtection="0">
      <alignment vertical="top" wrapText="1"/>
    </xf>
    <xf numFmtId="4" fontId="15" borderId="50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2" borderId="1" applyNumberFormat="0" applyFont="1" applyFill="1" applyBorder="1" applyAlignment="1" applyProtection="0">
      <alignment horizontal="center" vertical="top" wrapText="1"/>
    </xf>
    <xf numFmtId="0" fontId="0" borderId="15" applyNumberFormat="1" applyFont="1" applyFill="0" applyBorder="1" applyAlignment="1" applyProtection="0">
      <alignment vertical="top" wrapText="1"/>
    </xf>
    <xf numFmtId="59" fontId="0" borderId="2" applyNumberFormat="1" applyFont="1" applyFill="0" applyBorder="1" applyAlignment="1" applyProtection="0">
      <alignment vertical="top" wrapText="1"/>
    </xf>
    <xf numFmtId="49" fontId="2" fillId="24" borderId="16" applyNumberFormat="1" applyFont="1" applyFill="1" applyBorder="1" applyAlignment="1" applyProtection="0">
      <alignment vertical="top" wrapText="1"/>
    </xf>
    <xf numFmtId="0" fontId="2" fillId="24" borderId="17" applyNumberFormat="0" applyFont="1" applyFill="1" applyBorder="1" applyAlignment="1" applyProtection="0">
      <alignment vertical="top" wrapText="1"/>
    </xf>
    <xf numFmtId="4" fontId="2" fillId="24" borderId="3" applyNumberFormat="1" applyFont="1" applyFill="1" applyBorder="1" applyAlignment="1" applyProtection="0">
      <alignment vertical="top" wrapText="1"/>
    </xf>
    <xf numFmtId="59" fontId="2" fillId="24" borderId="3" applyNumberFormat="1" applyFont="1" applyFill="1" applyBorder="1" applyAlignment="1" applyProtection="0">
      <alignment vertical="top" wrapText="1"/>
    </xf>
    <xf numFmtId="0" fontId="2" fillId="24" borderId="3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borderId="15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8" fillId="20" borderId="2" applyNumberFormat="1" applyFont="1" applyFill="1" applyBorder="1" applyAlignment="1" applyProtection="0">
      <alignment vertical="top" wrapText="1"/>
    </xf>
    <xf numFmtId="4" fontId="8" fillId="20" borderId="3" applyNumberFormat="1" applyFont="1" applyFill="1" applyBorder="1" applyAlignment="1" applyProtection="0">
      <alignment vertical="top" wrapText="1"/>
    </xf>
    <xf numFmtId="4" fontId="8" fillId="3" borderId="2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16"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33"/>
          <bgColor indexed="31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33"/>
          <bgColor indexed="31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33"/>
          <bgColor indexed="32"/>
        </patternFill>
      </fill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33"/>
          <bgColor indexed="34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33"/>
          <bgColor indexed="35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33"/>
          <bgColor indexed="36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33"/>
          <bgColor indexed="31"/>
        </patternFill>
      </fill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33"/>
          <bgColor indexed="31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33"/>
          <bgColor indexed="32"/>
        </patternFill>
      </fill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33"/>
          <bgColor indexed="34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33"/>
          <bgColor indexed="35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33"/>
          <bgColor indexed="36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</dxfs>
  <tableStyles count="2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  <tableStyle name="PivotStyleCustom02">
      <tableStyleElement type="wholeTable" dxfId="8"/>
      <tableStyleElement type="headerRow" dxfId="9"/>
      <tableStyleElement type="firstColumnSubheading" dxfId="10"/>
      <tableStyleElement type="secondColumnSubheading" dxfId="10"/>
      <tableStyleElement type="thirdColumnSubheading" dxfId="10"/>
      <tableStyleElement type="firstColumn" dxfId="11"/>
      <tableStyleElement type="lastColumn" dxfId="11"/>
      <tableStyleElement type="firstRowSubheading" dxfId="12"/>
      <tableStyleElement type="secondRowSubheading" dxfId="12"/>
      <tableStyleElement type="thirdRowSubheading" dxfId="12"/>
      <tableStyleElement type="firstSubtotalColumn" dxfId="13"/>
      <tableStyleElement type="secondSubtotalColumn" dxfId="13"/>
      <tableStyleElement type="thirdSubtotalColumn" dxfId="13"/>
      <tableStyleElement type="firstSubtotalRow" dxfId="14"/>
      <tableStyleElement type="secondSubtotalRow" dxfId="14"/>
      <tableStyleElement type="thirdSubtotal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b41"/>
      <rgbColor rgb="ffa5a5a5"/>
      <rgbColor rgb="ff3f3f3f"/>
      <rgbColor rgb="ffffffff"/>
      <rgbColor rgb="ffdfeed4"/>
      <rgbColor rgb="ffffecd4"/>
      <rgbColor rgb="ffd3e2ff"/>
      <rgbColor rgb="fff9d3e0"/>
      <rgbColor rgb="fffff76b"/>
      <rgbColor rgb="ffe22400"/>
      <rgbColor rgb="ffd9ec37"/>
      <rgbColor rgb="fffdc700"/>
      <rgbColor rgb="ff52d6fc"/>
      <rgbColor rgb="ffe4ef65"/>
      <rgbColor rgb="ffffc777"/>
      <rgbColor rgb="fffecb3e"/>
      <rgbColor rgb="ffff4015"/>
      <rgbColor rgb="ff76bb40"/>
      <rgbColor rgb="fff7fadb"/>
      <rgbColor rgb="fff5ec00"/>
      <rgbColor rgb="ffeb512e"/>
      <rgbColor rgb="ffeaf28f"/>
      <rgbColor rgb="ffbdc0bf"/>
      <rgbColor rgb="ffdbdbdb"/>
      <rgbColor rgb="00000000"/>
      <rgbColor rgb="ffd3d3d3"/>
      <rgbColor rgb="fff4f4f4"/>
      <rgbColor rgb="ffe3e3e3"/>
      <rgbColor rgb="fffff2d5"/>
      <rgbColor rgb="ffa9d08d"/>
      <rgbColor rgb="ffe1edd6"/>
      <rgbColor rgb="ff4e7a27"/>
      <rgbColor rgb="fff2a98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99" createdVersion="7">
  <cacheSource type="worksheet">
    <worksheetSource ref="G146:L273" sheet="2nd Floor Construction "/>
  </cacheSource>
  <cacheFields count="6">
    <cacheField name="ITEM" numFmtId="0">
      <sharedItems containsNonDate="0" count="75">
        <s v="1/2 wood"/>
        <s v="1/2 Wood Transport "/>
        <s v="Concrete Nail 2 1/2 in"/>
        <s v="Concrete Nail 2 in"/>
        <s v="1/6 Wood"/>
        <s v="Wood Transport "/>
        <s v="Carpenter Sana Payment "/>
        <s v="2/3 Wood"/>
        <s v="Nail(pkg"/>
        <s v="Materials Transport "/>
        <s v="Acrojack "/>
        <s v="Generator Repair "/>
        <s v="Generator Transport "/>
        <s v="Gas for Generator "/>
        <s v="Plywood Rental "/>
        <s v="Nail(kg)"/>
        <s v="Plywood 12mm"/>
        <s v="Iron Rod 10mm"/>
        <s v="Iron Rod 12mm"/>
        <s v="Iron Rod 6mm"/>
        <s v="Binding Wire"/>
        <s v="Iron Man Payment"/>
        <s v="Wave Transfer Fee"/>
        <s v="Plywood Transport "/>
        <s v="10m Rope "/>
        <s v="Poly"/>
        <s v="Plumbing Materials "/>
        <s v="Cardboard "/>
        <s v="Electrical Materials"/>
        <s v="Electrical Material Transport "/>
        <s v="Wash Stone"/>
        <s v="Asphalt 19cu"/>
        <s v="Sand"/>
        <s v="Buba Tunkara"/>
        <s v="Nail(Box) 2in"/>
        <s v="Nails"/>
        <s v="Acrojack Transport "/>
        <s v="Electrician "/>
        <s v="Electrical Material "/>
        <s v="Binding Wire(Roll)"/>
        <s v="Adjusting the Pillars "/>
        <s v="Plumber "/>
        <s v="Ali Clearly pathway "/>
        <s v="Cement "/>
        <s v="Cement Transport "/>
        <s v="1/12 Wood Rental and Transport "/>
        <s v="Supervising Contractor"/>
        <s v="Stone(6 wheel)"/>
        <s v="Stone(6 wheel mini)"/>
        <s v="Gas for Generator and Tea"/>
        <s v="Concrete Man"/>
        <s v="Food for Workers"/>
        <s v="Bubacarr Faye"/>
        <s v="Ali Salary"/>
        <s v="Ali Watering Rooftop"/>
        <s v="Ali Bringing Down Woods and Acrojacks"/>
        <s v="Roof Materials Transport "/>
        <s v="Plywood Rental 2Days Extension "/>
        <s v="2/3 Wood Rental 2Days Extension "/>
        <s v="Acrojack Rental 2Days Extension "/>
        <s v="Bubacarr Faye Payment "/>
        <s v="Ali moving the Woods  to the Room"/>
        <s v="36 bags of Cement left after Concreting Moved to 3rd floor"/>
        <s v="36 Bags of Cement Transport Moved to 3rd Floor"/>
        <s v="Residual Moved to to 3rd Floor Expenses "/>
        <s v="Sand Left after Concreting Moved to 3rd Floor"/>
        <s v="TOTAL"/>
        <s v="Sent to Bubacarr Faye Camara"/>
        <s v="Amount remaining after the last beam"/>
        <s v="Amount remaining after balancing on 12/06/25"/>
        <s v="On 12/26/25, from Awa"/>
        <s v="On 12/29/2025, from Awa"/>
        <s v="TOTAL AMOUNT GIVING TO DATE, after Leftovers"/>
        <s v="TOTAL AMOUNT SPENT"/>
        <s v="REMAINING BALANCE IN HAND"/>
      </sharedItems>
    </cacheField>
    <cacheField name="QUALITY " numFmtId="0">
      <sharedItems containsNonDate="0" containsString="0" containsBlank="1" containsNumber="1" containsInteger="1" minValue="1" maxValue="500" count="26">
        <n v="100"/>
        <n v="1"/>
        <n v="5"/>
        <n v="45"/>
        <n v="35"/>
        <n v="2"/>
        <n v="350"/>
        <n v="17"/>
        <n v="4"/>
        <n v="400"/>
        <n v="65"/>
        <n v="8"/>
        <n v="30"/>
        <n v="50"/>
        <n v="500"/>
        <n v="3"/>
        <n v="12"/>
        <n v="10"/>
        <n v="25"/>
        <n v="18"/>
        <n v="364"/>
        <n v="60"/>
        <n v="375"/>
        <n v="475"/>
        <n v="36"/>
        <m/>
      </sharedItems>
    </cacheField>
    <cacheField name="UNIT PRICE(D)" numFmtId="0">
      <sharedItems containsNonDate="0" containsString="0" containsBlank="1" containsNumber="1" minValue="2.5" maxValue="94500" count="44">
        <n v="100"/>
        <n v="1000"/>
        <n v="200"/>
        <n v="30"/>
        <n v="350"/>
        <n v="500"/>
        <n v="15000"/>
        <n v="5"/>
        <n v="2500"/>
        <n v="5000"/>
        <n v="2.5"/>
        <n v="600"/>
        <n v="300"/>
        <n v="20"/>
        <n v="1700"/>
        <n v="2000"/>
        <n v="330"/>
        <n v="130"/>
        <n v="400"/>
        <n v="11000"/>
        <n v="110"/>
        <n v="19132"/>
        <n v="12475"/>
        <n v="14000"/>
        <n v="94500"/>
        <n v="8000"/>
        <n v="1200"/>
        <n v="375"/>
        <n v="9000"/>
        <n v="3100"/>
        <n v="16000"/>
        <n v="480"/>
        <n v="1500"/>
        <n v="6500"/>
        <n v="40000"/>
        <n v="5500"/>
        <n v="3500"/>
        <n v="10000"/>
        <n v="12000"/>
        <n v="481"/>
        <m/>
        <n v="7500"/>
        <n v="3000"/>
        <n v="13500"/>
      </sharedItems>
    </cacheField>
    <cacheField name="TOTAL COST(D)" numFmtId="0">
      <sharedItems containsSemiMixedTypes="0" containsNonDate="0" containsString="0" containsNumber="1" containsInteger="1" minValue="0" maxValue="1017906" count="59">
        <n v="10000"/>
        <n v="1000"/>
        <n v="1350"/>
        <n v="3500"/>
        <n v="700"/>
        <n v="500"/>
        <n v="15000"/>
        <n v="52500"/>
        <n v="1700"/>
        <n v="5000"/>
        <n v="27000"/>
        <n v="600"/>
        <n v="32500"/>
        <n v="800"/>
        <n v="51000"/>
        <n v="400"/>
        <n v="2000"/>
        <n v="165000"/>
        <n v="4550"/>
        <n v="1200"/>
        <n v="11000"/>
        <n v="110"/>
        <n v="20400"/>
        <n v="200"/>
        <n v="19000"/>
        <n v="300"/>
        <n v="17000"/>
        <n v="12475"/>
        <n v="42000"/>
        <n v="94500"/>
        <n v="24000"/>
        <n v="8000"/>
        <n v="750"/>
        <n v="2400"/>
        <n v="6750"/>
        <n v="350"/>
        <n v="9000"/>
        <n v="3100"/>
        <n v="16000"/>
        <n v="174720"/>
        <n v="7280"/>
        <n v="1500"/>
        <n v="6500"/>
        <n v="40000"/>
        <n v="5500"/>
        <n v="3600"/>
        <n v="5625"/>
        <n v="3565"/>
        <n v="12000"/>
        <n v="481"/>
        <n v="17280"/>
        <n v="720"/>
        <n v="1017906"/>
        <n v="556875"/>
        <n v="33050"/>
        <n v="11681"/>
        <n v="222300"/>
        <n v="222000"/>
        <n v="0"/>
      </sharedItems>
    </cacheField>
    <cacheField name="DATE" numFmtId="0">
      <sharedItems containsNonDate="0" containsDate="1" containsBlank="1" containsMixedTypes="1" minDate="2025-12-05T00:00:00" maxDate="2026-02-22T00:00:00" count="26">
        <d v="2025-12-05T00:00:00"/>
        <d v="2025-12-06T00:00:00"/>
        <d v="2025-12-13T00:00:00"/>
        <d v="2025-12-23T00:00:00"/>
        <d v="2025-12-15T00:00:00"/>
        <d v="2025-12-17T00:00:00"/>
        <d v="2025-12-18T00:00:00"/>
        <d v="2025-12-20T00:00:00"/>
        <s v="12/22/225"/>
        <d v="2025-12-22T00:00:00"/>
        <d v="2025-12-24T00:00:00"/>
        <d v="2025-12-26T00:00:00"/>
        <d v="2025-12-27T00:00:00"/>
        <d v="2025-12-28T00:00:00"/>
        <d v="2025-12-29T00:00:00"/>
        <d v="2025-12-30T00:00:00"/>
        <d v="2026-01-31T00:00:00"/>
        <m/>
        <d v="2026-01-07T00:00:00"/>
        <d v="2026-01-15T00:00:00"/>
        <d v="2026-01-18T00:00:00"/>
        <d v="2026-01-20T00:00:00"/>
        <d v="2026-01-22T00:00:00"/>
        <d v="2026-02-22T00:00:00"/>
        <s v="$1 = D74.25"/>
        <s v="$1 = D74.10"/>
      </sharedItems>
    </cacheField>
    <cacheField name=" " numFmtId="0">
      <sharedItems containsNonDate="0" containsBlank="1" containsMixedTypes="1" containsNumber="1" containsInteger="1" minValue="-18625" maxValue="240925" count="4">
        <m/>
        <s v=" Balancing 11681+556875"/>
        <n v="240925"/>
        <n v="-18625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2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70" createdVersion="7">
  <cacheSource type="worksheet">
    <worksheetSource ref="M74:Q144" sheet="3rd Floor"/>
  </cacheSource>
  <cacheFields count="5">
    <cacheField name="ITEM" numFmtId="0">
      <sharedItems containsNonDate="0" count="36">
        <s v="Cement"/>
        <s v="Cement Transport "/>
        <s v="Sand(10wheel)"/>
        <s v="Njaye Payment"/>
        <s v="Iron Rod(12mm)"/>
        <s v="Binding Wire"/>
        <s v="Iron Rod + Binding Wite Transport "/>
        <s v="Big Plastic Barrel "/>
        <s v="Barrels Transport "/>
        <s v="Gas for Generator "/>
        <s v="Bubacarr Faye Payment"/>
        <s v="Fixing Momo Haja’s Gate"/>
        <s v="Asphalt(95cu)"/>
        <s v="Nail(kg)"/>
        <s v="Ali’ Payment "/>
        <s v="Generator Repair and Gas"/>
        <s v="Iron Rod(10mm))"/>
        <s v="Iron Rod(6mm)"/>
        <s v="Materials Transport"/>
        <s v="Ali Packing the Woods"/>
        <s v="2/5 Wood"/>
        <s v="1/5 Wood Transport "/>
        <s v="Ramadan Experiences "/>
        <s v="1/2 Wood"/>
        <s v="Ali’ Salary "/>
        <s v="Design Pillars "/>
        <s v="Oil for Big Pillars"/>
        <s v="Big Pillar Mold  Rental (days)"/>
        <s v="Big Pillar Mold Transport "/>
        <s v="Cardboard and nails "/>
        <s v="1/5 Wood "/>
        <s v="Bubacarr Faye Court Expenses "/>
        <s v="Scaffolding Rental, Safo (Daily)"/>
        <s v="Scaffolding Transport"/>
        <s v="Ackro Jack Rental"/>
        <s v="Material Transport "/>
      </sharedItems>
    </cacheField>
    <cacheField name="QUALITY " numFmtId="0">
      <sharedItems containsSemiMixedTypes="0" containsNonDate="0" containsString="0" containsNumber="1" containsInteger="1" minValue="1" maxValue="250" count="17">
        <n v="36"/>
        <n v="1"/>
        <n v="103"/>
        <n v="2"/>
        <n v="100"/>
        <n v="10"/>
        <n v="250"/>
        <n v="200"/>
        <n v="3"/>
        <n v="7"/>
        <n v="50"/>
        <n v="4"/>
        <n v="9"/>
        <n v="15"/>
        <n v="25"/>
        <n v="6"/>
        <n v="5"/>
      </sharedItems>
    </cacheField>
    <cacheField name="UNIT PRICE(D)" numFmtId="0">
      <sharedItems containsSemiMixedTypes="0" containsNonDate="0" containsString="0" containsNumber="1" containsInteger="1" minValue="20" maxValue="100000" count="37">
        <n v="480"/>
        <n v="20"/>
        <n v="8000"/>
        <n v="100000"/>
        <n v="540"/>
        <n v="500"/>
        <n v="700"/>
        <n v="1000"/>
        <n v="475"/>
        <n v="60000"/>
        <n v="465"/>
        <n v="95000"/>
        <n v="100"/>
        <n v="5500"/>
        <n v="1250"/>
        <n v="330"/>
        <n v="130"/>
        <n v="1800"/>
        <n v="2000"/>
        <n v="101"/>
        <n v="1900"/>
        <n v="450"/>
        <n v="325"/>
        <n v="6000"/>
        <n v="120"/>
        <n v="300"/>
        <n v="22"/>
        <n v="400"/>
        <n v="1500"/>
        <n v="20000"/>
        <n v="140"/>
        <n v="350"/>
        <n v="150"/>
        <n v="200"/>
        <n v="25"/>
        <n v="1200"/>
        <n v="50000"/>
      </sharedItems>
    </cacheField>
    <cacheField name="COST(D)" numFmtId="0">
      <sharedItems containsSemiMixedTypes="0" containsNonDate="0" containsString="0" containsNumber="1" containsInteger="1" minValue="140" maxValue="100000" count="41">
        <n v="17280"/>
        <n v="720"/>
        <n v="8000"/>
        <n v="100000"/>
        <n v="55620"/>
        <n v="500"/>
        <n v="700"/>
        <n v="2000"/>
        <n v="475"/>
        <n v="60000"/>
        <n v="46500"/>
        <n v="95000"/>
        <n v="1000"/>
        <n v="5500"/>
        <n v="1250"/>
        <n v="82500"/>
        <n v="26000"/>
        <n v="1500"/>
        <n v="1800"/>
        <n v="707"/>
        <n v="1900"/>
        <n v="22500"/>
        <n v="1300"/>
        <n v="400"/>
        <n v="450"/>
        <n v="6000"/>
        <n v="900"/>
        <n v="300"/>
        <n v="1100"/>
        <n v="11250"/>
        <n v="9000"/>
        <n v="20000"/>
        <n v="140"/>
        <n v="3000"/>
        <n v="1750"/>
        <n v="200"/>
        <n v="150"/>
        <n v="1200"/>
        <n v="240"/>
        <n v="600"/>
        <n v="50000"/>
      </sharedItems>
    </cacheField>
    <cacheField name="DATE" numFmtId="0">
      <sharedItems containsNonDate="0" containsDate="1" containsString="0" containsBlank="1" minDate="2026-01-20T00:00:00" maxDate="2026-12-29T00:00:00" count="34">
        <d v="2026-12-29T00:00:00"/>
        <d v="2026-01-20T00:00:00"/>
        <d v="2026-01-22T00:00:00"/>
        <d v="2026-01-23T00:00:00"/>
        <d v="2026-01-24T00:00:00"/>
        <d v="2026-01-27T00:00:00"/>
        <d v="2026-01-28T00:00:00"/>
        <d v="2026-01-29T00:00:00"/>
        <d v="2026-01-30T00:00:00"/>
        <d v="2026-01-31T00:00:00"/>
        <d v="2026-02-04T00:00:00"/>
        <d v="2026-02-07T00:00:00"/>
        <d v="2026-02-08T00:00:00"/>
        <d v="2026-02-09T00:00:00"/>
        <d v="2026-02-12T00:00:00"/>
        <d v="2026-02-13T00:00:00"/>
        <d v="2026-02-14T00:00:00"/>
        <d v="2026-02-18T00:00:00"/>
        <d v="2026-02-21T00:00:00"/>
        <d v="2026-03-26T00:00:00"/>
        <d v="2026-03-02T00:00:00"/>
        <d v="2026-03-03T00:00:00"/>
        <d v="2026-03-06T00:00:00"/>
        <d v="2026-03-13T00:00:00"/>
        <d v="2026-03-15T00:00:00"/>
        <d v="2026-03-17T00:00:00"/>
        <d v="2026-03-19T00:00:00"/>
        <d v="2026-03-28T00:00:00"/>
        <d v="2026-03-29T00:00:00"/>
        <d v="2026-03-30T00:00:00"/>
        <d v="2026-04-01T00:00:00"/>
        <d v="2026-04-11T00:00:00"/>
        <d v="2026-04-14T00:00:00"/>
        <m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99">
  <r>
    <x v="0"/>
    <x v="0"/>
    <x v="0"/>
    <x v="0"/>
    <x v="0"/>
    <x v="0"/>
  </r>
  <r>
    <x v="1"/>
    <x v="1"/>
    <x v="1"/>
    <x v="1"/>
    <x v="0"/>
    <x v="0"/>
  </r>
  <r>
    <x v="2"/>
    <x v="2"/>
    <x v="2"/>
    <x v="1"/>
    <x v="0"/>
    <x v="0"/>
  </r>
  <r>
    <x v="3"/>
    <x v="3"/>
    <x v="3"/>
    <x v="2"/>
    <x v="0"/>
    <x v="0"/>
  </r>
  <r>
    <x v="0"/>
    <x v="4"/>
    <x v="0"/>
    <x v="3"/>
    <x v="1"/>
    <x v="0"/>
  </r>
  <r>
    <x v="4"/>
    <x v="5"/>
    <x v="4"/>
    <x v="4"/>
    <x v="1"/>
    <x v="0"/>
  </r>
  <r>
    <x v="5"/>
    <x v="1"/>
    <x v="5"/>
    <x v="5"/>
    <x v="1"/>
    <x v="0"/>
  </r>
  <r>
    <x v="6"/>
    <x v="1"/>
    <x v="6"/>
    <x v="6"/>
    <x v="1"/>
    <x v="1"/>
  </r>
  <r>
    <x v="7"/>
    <x v="6"/>
    <x v="7"/>
    <x v="7"/>
    <x v="2"/>
    <x v="0"/>
  </r>
  <r>
    <x v="8"/>
    <x v="7"/>
    <x v="0"/>
    <x v="8"/>
    <x v="2"/>
    <x v="0"/>
  </r>
  <r>
    <x v="9"/>
    <x v="8"/>
    <x v="8"/>
    <x v="0"/>
    <x v="2"/>
    <x v="0"/>
  </r>
  <r>
    <x v="6"/>
    <x v="1"/>
    <x v="9"/>
    <x v="9"/>
    <x v="3"/>
    <x v="0"/>
  </r>
  <r>
    <x v="10"/>
    <x v="9"/>
    <x v="10"/>
    <x v="10"/>
    <x v="4"/>
    <x v="0"/>
  </r>
  <r>
    <x v="11"/>
    <x v="1"/>
    <x v="11"/>
    <x v="11"/>
    <x v="5"/>
    <x v="0"/>
  </r>
  <r>
    <x v="12"/>
    <x v="5"/>
    <x v="12"/>
    <x v="11"/>
    <x v="5"/>
    <x v="0"/>
  </r>
  <r>
    <x v="13"/>
    <x v="1"/>
    <x v="5"/>
    <x v="5"/>
    <x v="5"/>
    <x v="0"/>
  </r>
  <r>
    <x v="14"/>
    <x v="10"/>
    <x v="13"/>
    <x v="12"/>
    <x v="6"/>
    <x v="0"/>
  </r>
  <r>
    <x v="15"/>
    <x v="11"/>
    <x v="0"/>
    <x v="13"/>
    <x v="7"/>
    <x v="0"/>
  </r>
  <r>
    <x v="16"/>
    <x v="12"/>
    <x v="14"/>
    <x v="14"/>
    <x v="8"/>
    <x v="0"/>
  </r>
  <r>
    <x v="10"/>
    <x v="13"/>
    <x v="10"/>
    <x v="15"/>
    <x v="9"/>
    <x v="0"/>
  </r>
  <r>
    <x v="9"/>
    <x v="1"/>
    <x v="15"/>
    <x v="16"/>
    <x v="9"/>
    <x v="0"/>
  </r>
  <r>
    <x v="17"/>
    <x v="14"/>
    <x v="16"/>
    <x v="17"/>
    <x v="3"/>
    <x v="0"/>
  </r>
  <r>
    <x v="18"/>
    <x v="12"/>
    <x v="5"/>
    <x v="6"/>
    <x v="3"/>
    <x v="0"/>
  </r>
  <r>
    <x v="19"/>
    <x v="4"/>
    <x v="17"/>
    <x v="18"/>
    <x v="3"/>
    <x v="0"/>
  </r>
  <r>
    <x v="20"/>
    <x v="15"/>
    <x v="18"/>
    <x v="19"/>
    <x v="3"/>
    <x v="0"/>
  </r>
  <r>
    <x v="9"/>
    <x v="1"/>
    <x v="9"/>
    <x v="9"/>
    <x v="3"/>
    <x v="0"/>
  </r>
  <r>
    <x v="6"/>
    <x v="1"/>
    <x v="9"/>
    <x v="9"/>
    <x v="3"/>
    <x v="0"/>
  </r>
  <r>
    <x v="21"/>
    <x v="1"/>
    <x v="19"/>
    <x v="20"/>
    <x v="3"/>
    <x v="0"/>
  </r>
  <r>
    <x v="22"/>
    <x v="1"/>
    <x v="20"/>
    <x v="21"/>
    <x v="3"/>
    <x v="0"/>
  </r>
  <r>
    <x v="16"/>
    <x v="16"/>
    <x v="14"/>
    <x v="22"/>
    <x v="10"/>
    <x v="0"/>
  </r>
  <r>
    <x v="23"/>
    <x v="1"/>
    <x v="5"/>
    <x v="5"/>
    <x v="10"/>
    <x v="0"/>
  </r>
  <r>
    <x v="24"/>
    <x v="1"/>
    <x v="5"/>
    <x v="5"/>
    <x v="10"/>
    <x v="0"/>
  </r>
  <r>
    <x v="25"/>
    <x v="1"/>
    <x v="2"/>
    <x v="23"/>
    <x v="10"/>
    <x v="0"/>
  </r>
  <r>
    <x v="26"/>
    <x v="1"/>
    <x v="21"/>
    <x v="24"/>
    <x v="11"/>
    <x v="0"/>
  </r>
  <r>
    <x v="9"/>
    <x v="1"/>
    <x v="12"/>
    <x v="25"/>
    <x v="11"/>
    <x v="0"/>
  </r>
  <r>
    <x v="16"/>
    <x v="17"/>
    <x v="14"/>
    <x v="26"/>
    <x v="11"/>
    <x v="0"/>
  </r>
  <r>
    <x v="27"/>
    <x v="5"/>
    <x v="18"/>
    <x v="13"/>
    <x v="11"/>
    <x v="0"/>
  </r>
  <r>
    <x v="9"/>
    <x v="1"/>
    <x v="12"/>
    <x v="25"/>
    <x v="11"/>
    <x v="0"/>
  </r>
  <r>
    <x v="28"/>
    <x v="1"/>
    <x v="22"/>
    <x v="27"/>
    <x v="11"/>
    <x v="2"/>
  </r>
  <r>
    <x v="29"/>
    <x v="1"/>
    <x v="12"/>
    <x v="25"/>
    <x v="11"/>
    <x v="0"/>
  </r>
  <r>
    <x v="30"/>
    <x v="15"/>
    <x v="23"/>
    <x v="28"/>
    <x v="11"/>
    <x v="3"/>
  </r>
  <r>
    <x v="31"/>
    <x v="1"/>
    <x v="24"/>
    <x v="29"/>
    <x v="11"/>
    <x v="0"/>
  </r>
  <r>
    <x v="32"/>
    <x v="15"/>
    <x v="25"/>
    <x v="30"/>
    <x v="11"/>
    <x v="0"/>
  </r>
  <r>
    <x v="33"/>
    <x v="1"/>
    <x v="25"/>
    <x v="31"/>
    <x v="11"/>
    <x v="0"/>
  </r>
  <r>
    <x v="34"/>
    <x v="18"/>
    <x v="3"/>
    <x v="32"/>
    <x v="12"/>
    <x v="0"/>
  </r>
  <r>
    <x v="35"/>
    <x v="1"/>
    <x v="26"/>
    <x v="19"/>
    <x v="12"/>
    <x v="0"/>
  </r>
  <r>
    <x v="10"/>
    <x v="18"/>
    <x v="10"/>
    <x v="1"/>
    <x v="12"/>
    <x v="0"/>
  </r>
  <r>
    <x v="7"/>
    <x v="12"/>
    <x v="7"/>
    <x v="33"/>
    <x v="12"/>
    <x v="0"/>
  </r>
  <r>
    <x v="9"/>
    <x v="1"/>
    <x v="11"/>
    <x v="11"/>
    <x v="12"/>
    <x v="0"/>
  </r>
  <r>
    <x v="4"/>
    <x v="19"/>
    <x v="27"/>
    <x v="34"/>
    <x v="12"/>
    <x v="0"/>
  </r>
  <r>
    <x v="0"/>
    <x v="5"/>
    <x v="0"/>
    <x v="23"/>
    <x v="12"/>
    <x v="0"/>
  </r>
  <r>
    <x v="36"/>
    <x v="1"/>
    <x v="4"/>
    <x v="35"/>
    <x v="12"/>
    <x v="0"/>
  </r>
  <r>
    <x v="37"/>
    <x v="1"/>
    <x v="28"/>
    <x v="36"/>
    <x v="12"/>
    <x v="0"/>
  </r>
  <r>
    <x v="29"/>
    <x v="5"/>
    <x v="5"/>
    <x v="1"/>
    <x v="13"/>
    <x v="0"/>
  </r>
  <r>
    <x v="38"/>
    <x v="1"/>
    <x v="29"/>
    <x v="37"/>
    <x v="14"/>
    <x v="0"/>
  </r>
  <r>
    <x v="29"/>
    <x v="1"/>
    <x v="12"/>
    <x v="25"/>
    <x v="14"/>
    <x v="0"/>
  </r>
  <r>
    <x v="39"/>
    <x v="1"/>
    <x v="5"/>
    <x v="5"/>
    <x v="14"/>
    <x v="0"/>
  </r>
  <r>
    <x v="40"/>
    <x v="1"/>
    <x v="1"/>
    <x v="1"/>
    <x v="14"/>
    <x v="0"/>
  </r>
  <r>
    <x v="21"/>
    <x v="1"/>
    <x v="19"/>
    <x v="20"/>
    <x v="14"/>
    <x v="0"/>
  </r>
  <r>
    <x v="41"/>
    <x v="1"/>
    <x v="30"/>
    <x v="38"/>
    <x v="14"/>
    <x v="0"/>
  </r>
  <r>
    <x v="42"/>
    <x v="1"/>
    <x v="1"/>
    <x v="1"/>
    <x v="14"/>
    <x v="0"/>
  </r>
  <r>
    <x v="43"/>
    <x v="20"/>
    <x v="31"/>
    <x v="39"/>
    <x v="14"/>
    <x v="0"/>
  </r>
  <r>
    <x v="44"/>
    <x v="20"/>
    <x v="13"/>
    <x v="40"/>
    <x v="14"/>
    <x v="0"/>
  </r>
  <r>
    <x v="0"/>
    <x v="17"/>
    <x v="0"/>
    <x v="1"/>
    <x v="15"/>
    <x v="0"/>
  </r>
  <r>
    <x v="1"/>
    <x v="1"/>
    <x v="5"/>
    <x v="5"/>
    <x v="15"/>
    <x v="0"/>
  </r>
  <r>
    <x v="45"/>
    <x v="15"/>
    <x v="18"/>
    <x v="15"/>
    <x v="15"/>
    <x v="0"/>
  </r>
  <r>
    <x v="46"/>
    <x v="1"/>
    <x v="32"/>
    <x v="41"/>
    <x v="15"/>
    <x v="0"/>
  </r>
  <r>
    <x v="47"/>
    <x v="1"/>
    <x v="25"/>
    <x v="31"/>
    <x v="15"/>
    <x v="0"/>
  </r>
  <r>
    <x v="48"/>
    <x v="1"/>
    <x v="33"/>
    <x v="42"/>
    <x v="15"/>
    <x v="0"/>
  </r>
  <r>
    <x v="49"/>
    <x v="1"/>
    <x v="1"/>
    <x v="1"/>
    <x v="15"/>
    <x v="0"/>
  </r>
  <r>
    <x v="37"/>
    <x v="1"/>
    <x v="12"/>
    <x v="25"/>
    <x v="15"/>
    <x v="0"/>
  </r>
  <r>
    <x v="50"/>
    <x v="1"/>
    <x v="34"/>
    <x v="43"/>
    <x v="15"/>
    <x v="0"/>
  </r>
  <r>
    <x v="51"/>
    <x v="1"/>
    <x v="15"/>
    <x v="16"/>
    <x v="15"/>
    <x v="0"/>
  </r>
  <r>
    <x v="52"/>
    <x v="1"/>
    <x v="9"/>
    <x v="9"/>
    <x v="16"/>
    <x v="0"/>
  </r>
  <r>
    <x v="13"/>
    <x v="1"/>
    <x v="5"/>
    <x v="5"/>
    <x v="17"/>
    <x v="0"/>
  </r>
  <r>
    <x v="13"/>
    <x v="1"/>
    <x v="5"/>
    <x v="5"/>
    <x v="17"/>
    <x v="0"/>
  </r>
  <r>
    <x v="53"/>
    <x v="1"/>
    <x v="35"/>
    <x v="44"/>
    <x v="18"/>
    <x v="0"/>
  </r>
  <r>
    <x v="54"/>
    <x v="1"/>
    <x v="15"/>
    <x v="16"/>
    <x v="18"/>
    <x v="0"/>
  </r>
  <r>
    <x v="55"/>
    <x v="1"/>
    <x v="36"/>
    <x v="3"/>
    <x v="19"/>
    <x v="0"/>
  </r>
  <r>
    <x v="56"/>
    <x v="1"/>
    <x v="37"/>
    <x v="0"/>
    <x v="19"/>
    <x v="0"/>
  </r>
  <r>
    <x v="57"/>
    <x v="21"/>
    <x v="13"/>
    <x v="45"/>
    <x v="20"/>
    <x v="0"/>
  </r>
  <r>
    <x v="58"/>
    <x v="22"/>
    <x v="7"/>
    <x v="46"/>
    <x v="20"/>
    <x v="0"/>
  </r>
  <r>
    <x v="59"/>
    <x v="23"/>
    <x v="10"/>
    <x v="47"/>
    <x v="20"/>
    <x v="0"/>
  </r>
  <r>
    <x v="6"/>
    <x v="1"/>
    <x v="32"/>
    <x v="41"/>
    <x v="21"/>
    <x v="0"/>
  </r>
  <r>
    <x v="60"/>
    <x v="1"/>
    <x v="38"/>
    <x v="48"/>
    <x v="22"/>
    <x v="0"/>
  </r>
  <r>
    <x v="61"/>
    <x v="1"/>
    <x v="39"/>
    <x v="49"/>
    <x v="22"/>
    <x v="0"/>
  </r>
  <r>
    <x v="62"/>
    <x v="24"/>
    <x v="31"/>
    <x v="50"/>
    <x v="22"/>
    <x v="0"/>
  </r>
  <r>
    <x v="63"/>
    <x v="24"/>
    <x v="13"/>
    <x v="51"/>
    <x v="22"/>
    <x v="0"/>
  </r>
  <r>
    <x v="64"/>
    <x v="1"/>
    <x v="15"/>
    <x v="16"/>
    <x v="22"/>
    <x v="0"/>
  </r>
  <r>
    <x v="65"/>
    <x v="1"/>
    <x v="25"/>
    <x v="31"/>
    <x v="23"/>
    <x v="0"/>
  </r>
  <r>
    <x v="66"/>
    <x v="25"/>
    <x v="40"/>
    <x v="52"/>
    <x v="17"/>
    <x v="0"/>
  </r>
  <r>
    <x v="67"/>
    <x v="25"/>
    <x v="41"/>
    <x v="53"/>
    <x v="24"/>
    <x v="0"/>
  </r>
  <r>
    <x v="68"/>
    <x v="25"/>
    <x v="40"/>
    <x v="54"/>
    <x v="17"/>
    <x v="0"/>
  </r>
  <r>
    <x v="69"/>
    <x v="25"/>
    <x v="40"/>
    <x v="55"/>
    <x v="17"/>
    <x v="0"/>
  </r>
  <r>
    <x v="70"/>
    <x v="25"/>
    <x v="42"/>
    <x v="56"/>
    <x v="25"/>
    <x v="0"/>
  </r>
  <r>
    <x v="71"/>
    <x v="25"/>
    <x v="42"/>
    <x v="57"/>
    <x v="17"/>
    <x v="0"/>
  </r>
  <r>
    <x v="72"/>
    <x v="25"/>
    <x v="43"/>
    <x v="52"/>
    <x v="17"/>
    <x v="0"/>
  </r>
  <r>
    <x v="73"/>
    <x v="25"/>
    <x v="40"/>
    <x v="52"/>
    <x v="17"/>
    <x v="0"/>
  </r>
  <r>
    <x v="74"/>
    <x v="25"/>
    <x v="40"/>
    <x v="58"/>
    <x v="17"/>
    <x v="0"/>
  </r>
</pivotCacheRecords>
</file>

<file path=xl/pivotCache/pivotCacheRecords2.xml><?xml version="1.0" encoding="utf-8"?>
<pivotCacheRecords xmlns:r="http://schemas.openxmlformats.org/officeDocument/2006/relationships" xmlns="http://schemas.openxmlformats.org/spreadsheetml/2006/main" count="70">
  <r>
    <x v="0"/>
    <x v="0"/>
    <x v="0"/>
    <x v="0"/>
    <x v="0"/>
  </r>
  <r>
    <x v="1"/>
    <x v="0"/>
    <x v="1"/>
    <x v="1"/>
    <x v="0"/>
  </r>
  <r>
    <x v="2"/>
    <x v="1"/>
    <x v="2"/>
    <x v="2"/>
    <x v="0"/>
  </r>
  <r>
    <x v="3"/>
    <x v="1"/>
    <x v="3"/>
    <x v="3"/>
    <x v="1"/>
  </r>
  <r>
    <x v="4"/>
    <x v="2"/>
    <x v="4"/>
    <x v="4"/>
    <x v="2"/>
  </r>
  <r>
    <x v="5"/>
    <x v="1"/>
    <x v="5"/>
    <x v="5"/>
    <x v="2"/>
  </r>
  <r>
    <x v="6"/>
    <x v="1"/>
    <x v="6"/>
    <x v="6"/>
    <x v="2"/>
  </r>
  <r>
    <x v="7"/>
    <x v="3"/>
    <x v="7"/>
    <x v="7"/>
    <x v="3"/>
  </r>
  <r>
    <x v="8"/>
    <x v="1"/>
    <x v="5"/>
    <x v="5"/>
    <x v="3"/>
  </r>
  <r>
    <x v="9"/>
    <x v="1"/>
    <x v="8"/>
    <x v="8"/>
    <x v="3"/>
  </r>
  <r>
    <x v="10"/>
    <x v="1"/>
    <x v="9"/>
    <x v="9"/>
    <x v="4"/>
  </r>
  <r>
    <x v="0"/>
    <x v="4"/>
    <x v="10"/>
    <x v="10"/>
    <x v="5"/>
  </r>
  <r>
    <x v="1"/>
    <x v="4"/>
    <x v="1"/>
    <x v="7"/>
    <x v="5"/>
  </r>
  <r>
    <x v="2"/>
    <x v="1"/>
    <x v="2"/>
    <x v="2"/>
    <x v="5"/>
  </r>
  <r>
    <x v="3"/>
    <x v="1"/>
    <x v="3"/>
    <x v="3"/>
    <x v="6"/>
  </r>
  <r>
    <x v="11"/>
    <x v="1"/>
    <x v="6"/>
    <x v="6"/>
    <x v="7"/>
  </r>
  <r>
    <x v="9"/>
    <x v="1"/>
    <x v="5"/>
    <x v="5"/>
    <x v="8"/>
  </r>
  <r>
    <x v="12"/>
    <x v="1"/>
    <x v="11"/>
    <x v="11"/>
    <x v="9"/>
  </r>
  <r>
    <x v="13"/>
    <x v="5"/>
    <x v="12"/>
    <x v="12"/>
    <x v="9"/>
  </r>
  <r>
    <x v="14"/>
    <x v="1"/>
    <x v="13"/>
    <x v="13"/>
    <x v="10"/>
  </r>
  <r>
    <x v="15"/>
    <x v="1"/>
    <x v="14"/>
    <x v="14"/>
    <x v="11"/>
  </r>
  <r>
    <x v="16"/>
    <x v="6"/>
    <x v="15"/>
    <x v="15"/>
    <x v="12"/>
  </r>
  <r>
    <x v="17"/>
    <x v="7"/>
    <x v="16"/>
    <x v="16"/>
    <x v="12"/>
  </r>
  <r>
    <x v="5"/>
    <x v="8"/>
    <x v="5"/>
    <x v="17"/>
    <x v="12"/>
  </r>
  <r>
    <x v="18"/>
    <x v="1"/>
    <x v="17"/>
    <x v="18"/>
    <x v="12"/>
  </r>
  <r>
    <x v="3"/>
    <x v="1"/>
    <x v="3"/>
    <x v="3"/>
    <x v="13"/>
  </r>
  <r>
    <x v="19"/>
    <x v="1"/>
    <x v="18"/>
    <x v="7"/>
    <x v="13"/>
  </r>
  <r>
    <x v="13"/>
    <x v="9"/>
    <x v="19"/>
    <x v="19"/>
    <x v="14"/>
  </r>
  <r>
    <x v="2"/>
    <x v="1"/>
    <x v="2"/>
    <x v="2"/>
    <x v="15"/>
  </r>
  <r>
    <x v="15"/>
    <x v="1"/>
    <x v="20"/>
    <x v="20"/>
    <x v="16"/>
  </r>
  <r>
    <x v="0"/>
    <x v="10"/>
    <x v="21"/>
    <x v="21"/>
    <x v="17"/>
  </r>
  <r>
    <x v="1"/>
    <x v="10"/>
    <x v="1"/>
    <x v="12"/>
    <x v="17"/>
  </r>
  <r>
    <x v="20"/>
    <x v="11"/>
    <x v="22"/>
    <x v="22"/>
    <x v="17"/>
  </r>
  <r>
    <x v="21"/>
    <x v="11"/>
    <x v="12"/>
    <x v="23"/>
    <x v="17"/>
  </r>
  <r>
    <x v="9"/>
    <x v="1"/>
    <x v="21"/>
    <x v="24"/>
    <x v="18"/>
  </r>
  <r>
    <x v="22"/>
    <x v="1"/>
    <x v="23"/>
    <x v="25"/>
    <x v="19"/>
  </r>
  <r>
    <x v="13"/>
    <x v="12"/>
    <x v="12"/>
    <x v="26"/>
    <x v="20"/>
  </r>
  <r>
    <x v="23"/>
    <x v="13"/>
    <x v="24"/>
    <x v="18"/>
    <x v="20"/>
  </r>
  <r>
    <x v="18"/>
    <x v="1"/>
    <x v="25"/>
    <x v="27"/>
    <x v="20"/>
  </r>
  <r>
    <x v="0"/>
    <x v="10"/>
    <x v="21"/>
    <x v="21"/>
    <x v="21"/>
  </r>
  <r>
    <x v="1"/>
    <x v="10"/>
    <x v="26"/>
    <x v="28"/>
    <x v="21"/>
  </r>
  <r>
    <x v="2"/>
    <x v="1"/>
    <x v="2"/>
    <x v="2"/>
    <x v="21"/>
  </r>
  <r>
    <x v="9"/>
    <x v="1"/>
    <x v="27"/>
    <x v="23"/>
    <x v="22"/>
  </r>
  <r>
    <x v="24"/>
    <x v="1"/>
    <x v="13"/>
    <x v="13"/>
    <x v="22"/>
  </r>
  <r>
    <x v="0"/>
    <x v="14"/>
    <x v="21"/>
    <x v="29"/>
    <x v="23"/>
  </r>
  <r>
    <x v="1"/>
    <x v="14"/>
    <x v="1"/>
    <x v="5"/>
    <x v="23"/>
  </r>
  <r>
    <x v="9"/>
    <x v="1"/>
    <x v="27"/>
    <x v="23"/>
    <x v="23"/>
  </r>
  <r>
    <x v="25"/>
    <x v="15"/>
    <x v="28"/>
    <x v="30"/>
    <x v="24"/>
  </r>
  <r>
    <x v="3"/>
    <x v="1"/>
    <x v="29"/>
    <x v="31"/>
    <x v="25"/>
  </r>
  <r>
    <x v="26"/>
    <x v="1"/>
    <x v="30"/>
    <x v="32"/>
    <x v="25"/>
  </r>
  <r>
    <x v="0"/>
    <x v="14"/>
    <x v="21"/>
    <x v="29"/>
    <x v="25"/>
  </r>
  <r>
    <x v="1"/>
    <x v="14"/>
    <x v="1"/>
    <x v="5"/>
    <x v="25"/>
  </r>
  <r>
    <x v="27"/>
    <x v="8"/>
    <x v="7"/>
    <x v="33"/>
    <x v="26"/>
  </r>
  <r>
    <x v="28"/>
    <x v="1"/>
    <x v="7"/>
    <x v="12"/>
    <x v="26"/>
  </r>
  <r>
    <x v="29"/>
    <x v="1"/>
    <x v="6"/>
    <x v="6"/>
    <x v="19"/>
  </r>
  <r>
    <x v="30"/>
    <x v="16"/>
    <x v="31"/>
    <x v="34"/>
    <x v="27"/>
  </r>
  <r>
    <x v="21"/>
    <x v="1"/>
    <x v="27"/>
    <x v="23"/>
    <x v="27"/>
  </r>
  <r>
    <x v="9"/>
    <x v="1"/>
    <x v="27"/>
    <x v="23"/>
    <x v="27"/>
  </r>
  <r>
    <x v="31"/>
    <x v="1"/>
    <x v="7"/>
    <x v="12"/>
    <x v="28"/>
  </r>
  <r>
    <x v="32"/>
    <x v="15"/>
    <x v="32"/>
    <x v="26"/>
    <x v="29"/>
  </r>
  <r>
    <x v="33"/>
    <x v="3"/>
    <x v="33"/>
    <x v="23"/>
    <x v="29"/>
  </r>
  <r>
    <x v="13"/>
    <x v="3"/>
    <x v="12"/>
    <x v="35"/>
    <x v="29"/>
  </r>
  <r>
    <x v="24"/>
    <x v="1"/>
    <x v="13"/>
    <x v="13"/>
    <x v="30"/>
  </r>
  <r>
    <x v="34"/>
    <x v="15"/>
    <x v="34"/>
    <x v="36"/>
    <x v="31"/>
  </r>
  <r>
    <x v="32"/>
    <x v="1"/>
    <x v="35"/>
    <x v="37"/>
    <x v="31"/>
  </r>
  <r>
    <x v="23"/>
    <x v="3"/>
    <x v="24"/>
    <x v="38"/>
    <x v="31"/>
  </r>
  <r>
    <x v="35"/>
    <x v="1"/>
    <x v="5"/>
    <x v="5"/>
    <x v="31"/>
  </r>
  <r>
    <x v="27"/>
    <x v="1"/>
    <x v="7"/>
    <x v="12"/>
    <x v="32"/>
  </r>
  <r>
    <x v="28"/>
    <x v="3"/>
    <x v="25"/>
    <x v="39"/>
    <x v="32"/>
  </r>
  <r>
    <x v="3"/>
    <x v="1"/>
    <x v="36"/>
    <x v="40"/>
    <x v="3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</Relationships>

</file>

<file path=xl/pivotTables/pivotTable1.xml><?xml version="1.0" encoding="utf-8"?>
<pivotTableDefinition xmlns="http://schemas.openxmlformats.org/spreadsheetml/2006/main" name="2nd Floor Roof Concreting Pivot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createdVersion="7" indent="0" showEmptyCol="1" showEmptyRow="1" compact="0" compactData="0" multipleFieldFilters="0">
  <location ref="A2:C79" firstHeaderRow="1" firstDataRow="2" firstDataCol="1"/>
  <pivotFields count="6">
    <pivotField name="ITEM" axis="axisRow" compact="0" numFmtId="49" outline="0" showAll="0" sortType="ascending">
      <items count="76">
        <item x="45"/>
        <item x="1"/>
        <item x="0"/>
        <item x="4"/>
        <item x="24"/>
        <item x="7"/>
        <item x="58"/>
        <item x="63"/>
        <item x="62"/>
        <item x="10"/>
        <item x="59"/>
        <item x="36"/>
        <item x="40"/>
        <item x="55"/>
        <item x="42"/>
        <item x="53"/>
        <item x="54"/>
        <item x="61"/>
        <item x="69"/>
        <item x="68"/>
        <item x="31"/>
        <item x="20"/>
        <item x="39"/>
        <item x="33"/>
        <item x="52"/>
        <item x="60"/>
        <item x="27"/>
        <item x="6"/>
        <item x="43"/>
        <item x="44"/>
        <item x="50"/>
        <item x="2"/>
        <item x="3"/>
        <item x="38"/>
        <item x="29"/>
        <item x="28"/>
        <item x="37"/>
        <item x="51"/>
        <item x="13"/>
        <item x="49"/>
        <item x="11"/>
        <item x="12"/>
        <item x="21"/>
        <item x="17"/>
        <item x="18"/>
        <item x="19"/>
        <item x="9"/>
        <item x="34"/>
        <item x="15"/>
        <item x="8"/>
        <item x="35"/>
        <item x="70"/>
        <item x="71"/>
        <item x="41"/>
        <item x="26"/>
        <item x="16"/>
        <item x="14"/>
        <item x="57"/>
        <item x="23"/>
        <item x="25"/>
        <item x="74"/>
        <item x="64"/>
        <item x="56"/>
        <item x="32"/>
        <item x="65"/>
        <item x="67"/>
        <item x="48"/>
        <item x="47"/>
        <item x="46"/>
        <item x="66"/>
        <item x="72"/>
        <item x="73"/>
        <item x="30"/>
        <item x="22"/>
        <item x="5"/>
        <item t="default" sd="0"/>
      </items>
    </pivotField>
    <pivotField name="QUALITY " axis="axisValues" dataField="1" compact="0" outline="0" showAll="0"/>
    <pivotField name="UNIT PRICE(D)" compact="0" outline="0" showAll="0">
      <items count="45">
        <item x="10"/>
        <item x="7"/>
        <item x="13"/>
        <item x="3"/>
        <item x="0"/>
        <item x="20"/>
        <item x="17"/>
        <item x="2"/>
        <item x="12"/>
        <item x="16"/>
        <item x="4"/>
        <item x="27"/>
        <item x="18"/>
        <item x="31"/>
        <item x="39"/>
        <item x="5"/>
        <item x="11"/>
        <item x="1"/>
        <item x="26"/>
        <item x="32"/>
        <item x="14"/>
        <item x="15"/>
        <item x="8"/>
        <item x="42"/>
        <item x="29"/>
        <item x="36"/>
        <item x="9"/>
        <item x="35"/>
        <item x="33"/>
        <item x="41"/>
        <item x="25"/>
        <item x="28"/>
        <item x="37"/>
        <item x="19"/>
        <item x="38"/>
        <item x="22"/>
        <item x="23"/>
        <item x="6"/>
        <item x="30"/>
        <item x="21"/>
        <item x="34"/>
        <item x="24"/>
        <item x="40"/>
        <item x="43"/>
        <item t="default" sd="0"/>
      </items>
    </pivotField>
    <pivotField name="TOTAL COST(D)" axis="axisValues" dataField="1" compact="0" outline="0" showAll="0"/>
    <pivotField name="DATE" compact="0" outline="0" showAll="0">
      <items count="27">
        <item x="8"/>
        <item x="17"/>
        <item x="25"/>
        <item x="24"/>
        <item x="0"/>
        <item x="1"/>
        <item x="2"/>
        <item x="4"/>
        <item x="5"/>
        <item x="6"/>
        <item x="7"/>
        <item x="9"/>
        <item x="3"/>
        <item x="10"/>
        <item x="11"/>
        <item x="12"/>
        <item x="13"/>
        <item x="14"/>
        <item x="15"/>
        <item x="18"/>
        <item x="19"/>
        <item x="20"/>
        <item x="21"/>
        <item x="22"/>
        <item x="16"/>
        <item x="23"/>
        <item t="default" sd="0"/>
      </items>
    </pivotField>
    <pivotField name="F" compact="0" outline="0" showAll="0">
      <items count="5">
        <item x="0"/>
        <item x="1"/>
        <item x="3"/>
        <item x="2"/>
        <item t="default" sd="0"/>
      </items>
    </pivotField>
  </pivotFields>
  <rowFields count="1">
    <field x="0"/>
  </rowFields>
  <rowItems count="76">
    <i>
      <x/>
    </i>
    <i>
      <x v="2"/>
    </i>
    <i>
      <x v="1"/>
    </i>
    <i>
      <x v="3"/>
    </i>
    <i>
      <x v="4"/>
    </i>
    <i>
      <x v="5"/>
    </i>
    <i>
      <x v="6"/>
    </i>
    <i>
      <x v="8"/>
    </i>
    <i>
      <x v="7"/>
    </i>
    <i>
      <x v="9"/>
    </i>
    <i>
      <x v="10"/>
    </i>
    <i>
      <x v="11"/>
    </i>
    <i>
      <x v="12"/>
    </i>
    <i>
      <x v="13"/>
    </i>
    <i>
      <x v="14"/>
    </i>
    <i>
      <x v="17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LITY " fld="1"/>
    <dataField name="Sum of TOTAL COST(D)" fld="3" numFmtId="3"/>
  </dataFields>
  <pivotTableStyleInfo name="PivotStyleCustom01" showRowHeaders="1" showColHeaders="1" showRowStripes="1" showColStripes="0" showLastColumn="1"/>
</pivotTableDefinition>
</file>

<file path=xl/pivotTables/pivotTable2.xml><?xml version="1.0" encoding="utf-8"?>
<pivotTableDefinition xmlns="http://schemas.openxmlformats.org/spreadsheetml/2006/main" name="Table 1 Pivot" cacheId="1" dataPosition="0" autoFormatId="0" applyNumberFormats="0" applyBorderFormats="0" applyFontFormats="0" applyPatternFormats="0" applyAlignmentFormats="0" applyWidthHeightFormats="1" dataCaption="" missingCaption="" pivotTableStyle="PivotStyleCustom02" updatedVersion="7" useAutoFormatting="1" createdVersion="7" indent="0" showEmptyCol="1" showEmptyRow="1" compact="0" compactData="0" multipleFieldFilters="0">
  <location ref="A2:C40" firstHeaderRow="1" firstDataRow="2" firstDataCol="1"/>
  <pivotFields count="5">
    <pivotField name="ITEM" axis="axisRow" compact="0" numFmtId="49" outline="0" showAll="0" sortType="ascending">
      <items count="37">
        <item x="23"/>
        <item x="30"/>
        <item x="21"/>
        <item x="20"/>
        <item x="34"/>
        <item x="19"/>
        <item x="14"/>
        <item x="24"/>
        <item x="12"/>
        <item x="8"/>
        <item x="27"/>
        <item x="28"/>
        <item x="7"/>
        <item x="5"/>
        <item x="31"/>
        <item x="10"/>
        <item x="29"/>
        <item x="0"/>
        <item x="1"/>
        <item x="25"/>
        <item x="11"/>
        <item x="9"/>
        <item x="15"/>
        <item x="6"/>
        <item x="16"/>
        <item x="4"/>
        <item x="17"/>
        <item x="35"/>
        <item x="18"/>
        <item x="13"/>
        <item x="3"/>
        <item x="26"/>
        <item x="22"/>
        <item x="2"/>
        <item x="32"/>
        <item x="33"/>
        <item t="default" sd="0"/>
      </items>
    </pivotField>
    <pivotField name="QUALITY " axis="axisValues" dataField="1" compact="0" outline="0" showAll="0"/>
    <pivotField name="UNIT PRICE(D)" compact="0" outline="0" showAll="0">
      <items count="38">
        <item x="1"/>
        <item x="26"/>
        <item x="34"/>
        <item x="12"/>
        <item x="19"/>
        <item x="24"/>
        <item x="16"/>
        <item x="30"/>
        <item x="32"/>
        <item x="33"/>
        <item x="25"/>
        <item x="22"/>
        <item x="15"/>
        <item x="31"/>
        <item x="27"/>
        <item x="21"/>
        <item x="10"/>
        <item x="8"/>
        <item x="0"/>
        <item x="5"/>
        <item x="4"/>
        <item x="6"/>
        <item x="7"/>
        <item x="35"/>
        <item x="14"/>
        <item x="28"/>
        <item x="17"/>
        <item x="20"/>
        <item x="18"/>
        <item x="13"/>
        <item x="23"/>
        <item x="2"/>
        <item x="29"/>
        <item x="36"/>
        <item x="9"/>
        <item x="11"/>
        <item x="3"/>
        <item t="default" sd="0"/>
      </items>
    </pivotField>
    <pivotField name="COST(D)" axis="axisValues" dataField="1" compact="0" outline="0" showAll="0"/>
    <pivotField name="DATE" compact="0" outline="0" showAll="0">
      <items count="35">
        <item x="3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19"/>
        <item x="27"/>
        <item x="28"/>
        <item x="29"/>
        <item x="30"/>
        <item x="31"/>
        <item x="32"/>
        <item x="0"/>
        <item t="default" sd="0"/>
      </items>
    </pivotField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LITY " fld="1"/>
    <dataField name="Sum of COST(D)" fld="3" numFmtId="4"/>
  </dataFields>
  <pivotTableStyleInfo name="PivotStyleCustom02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273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45.7109" style="1" customWidth="1"/>
    <col min="2" max="2" width="14.7578" style="1" customWidth="1"/>
    <col min="3" max="3" width="20.3203" style="1" customWidth="1"/>
    <col min="4" max="4" width="19.2266" style="1" customWidth="1"/>
    <col min="5" max="6" width="15.7031" style="1" customWidth="1"/>
    <col min="7" max="7" width="47.8984" style="81" customWidth="1"/>
    <col min="8" max="9" width="16.3516" style="81" customWidth="1"/>
    <col min="10" max="10" width="21.1797" style="81" customWidth="1"/>
    <col min="11" max="11" width="16.3516" style="81" customWidth="1"/>
    <col min="12" max="12" width="22.6016" style="81" customWidth="1"/>
    <col min="13" max="16384" width="16.3516" style="81" customWidth="1"/>
  </cols>
  <sheetData>
    <row r="1" ht="30.55" customHeight="1">
      <c r="A1" t="s" s="2">
        <v>0</v>
      </c>
      <c r="B1" s="2"/>
      <c r="C1" s="2"/>
      <c r="D1" s="2"/>
      <c r="E1" s="2"/>
      <c r="F1" s="2"/>
    </row>
    <row r="2" ht="25.1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4"/>
    </row>
    <row r="3" ht="17.15" customHeight="1">
      <c r="A3" t="s" s="5">
        <v>6</v>
      </c>
      <c r="B3" s="6">
        <v>1</v>
      </c>
      <c r="C3" s="7">
        <v>400</v>
      </c>
      <c r="D3" s="7" cm="1">
        <f t="array" ref="D3">C3*B3</f>
        <v>400</v>
      </c>
      <c r="E3" t="s" s="8">
        <v>7</v>
      </c>
      <c r="F3" s="9"/>
    </row>
    <row r="4" ht="16.95" customHeight="1">
      <c r="A4" t="s" s="10">
        <v>8</v>
      </c>
      <c r="B4" s="11">
        <v>70</v>
      </c>
      <c r="C4" s="12">
        <v>550</v>
      </c>
      <c r="D4" s="12" cm="1">
        <f t="array" ref="D4">C4*B4</f>
        <v>38500</v>
      </c>
      <c r="E4" t="s" s="13">
        <v>9</v>
      </c>
      <c r="F4" s="14"/>
    </row>
    <row r="5" ht="16.95" customHeight="1">
      <c r="A5" t="s" s="10">
        <v>10</v>
      </c>
      <c r="B5" s="11">
        <v>40</v>
      </c>
      <c r="C5" s="12">
        <v>150</v>
      </c>
      <c r="D5" s="12" cm="1">
        <f t="array" ref="D5">C5*B5</f>
        <v>6000</v>
      </c>
      <c r="E5" t="s" s="13">
        <v>9</v>
      </c>
      <c r="F5" s="14"/>
    </row>
    <row r="6" ht="16.95" customHeight="1">
      <c r="A6" t="s" s="10">
        <v>11</v>
      </c>
      <c r="B6" s="11">
        <v>1</v>
      </c>
      <c r="C6" s="12">
        <v>2800</v>
      </c>
      <c r="D6" s="12" cm="1">
        <f t="array" ref="D6">C6*B6</f>
        <v>2800</v>
      </c>
      <c r="E6" t="s" s="13">
        <v>9</v>
      </c>
      <c r="F6" s="14"/>
    </row>
    <row r="7" ht="16.95" customHeight="1">
      <c r="A7" t="s" s="10">
        <v>12</v>
      </c>
      <c r="B7" s="11">
        <v>2</v>
      </c>
      <c r="C7" s="12">
        <v>500</v>
      </c>
      <c r="D7" s="12" cm="1">
        <f t="array" ref="D7">C7*B7</f>
        <v>1000</v>
      </c>
      <c r="E7" t="s" s="13">
        <v>9</v>
      </c>
      <c r="F7" s="14"/>
    </row>
    <row r="8" ht="16.95" customHeight="1">
      <c r="A8" t="s" s="10">
        <v>13</v>
      </c>
      <c r="B8" s="11">
        <v>1</v>
      </c>
      <c r="C8" s="12">
        <v>1000</v>
      </c>
      <c r="D8" s="12" cm="1">
        <f t="array" ref="D8">C8*B8</f>
        <v>1000</v>
      </c>
      <c r="E8" t="s" s="13">
        <v>9</v>
      </c>
      <c r="F8" s="14"/>
    </row>
    <row r="9" ht="16.95" customHeight="1">
      <c r="A9" t="s" s="10">
        <v>14</v>
      </c>
      <c r="B9" s="11">
        <v>50</v>
      </c>
      <c r="C9" s="12">
        <v>480</v>
      </c>
      <c r="D9" s="12" cm="1">
        <f t="array" ref="D9">C9*B9</f>
        <v>24000</v>
      </c>
      <c r="E9" t="s" s="13">
        <v>9</v>
      </c>
      <c r="F9" s="14"/>
    </row>
    <row r="10" ht="16.95" customHeight="1">
      <c r="A10" t="s" s="10">
        <v>15</v>
      </c>
      <c r="B10" s="11">
        <v>50</v>
      </c>
      <c r="C10" s="12">
        <v>20</v>
      </c>
      <c r="D10" s="12" cm="1">
        <f t="array" ref="D10">C10*B10</f>
        <v>1000</v>
      </c>
      <c r="E10" t="s" s="13">
        <v>9</v>
      </c>
      <c r="F10" s="14"/>
    </row>
    <row r="11" ht="16.95" customHeight="1">
      <c r="A11" t="s" s="10">
        <v>16</v>
      </c>
      <c r="B11" s="11">
        <v>1</v>
      </c>
      <c r="C11" s="12">
        <v>90000</v>
      </c>
      <c r="D11" s="12" cm="1">
        <f t="array" ref="D11">C11*B11</f>
        <v>90000</v>
      </c>
      <c r="E11" t="s" s="13">
        <v>9</v>
      </c>
      <c r="F11" s="14"/>
    </row>
    <row r="12" ht="16.95" customHeight="1">
      <c r="A12" t="s" s="10">
        <v>17</v>
      </c>
      <c r="B12" s="11">
        <v>1</v>
      </c>
      <c r="C12" s="12">
        <v>530</v>
      </c>
      <c r="D12" s="12" cm="1">
        <f t="array" ref="D12">C12*B12</f>
        <v>530</v>
      </c>
      <c r="E12" t="s" s="13">
        <v>18</v>
      </c>
      <c r="F12" s="14"/>
    </row>
    <row r="13" ht="16.95" customHeight="1">
      <c r="A13" t="s" s="10">
        <v>19</v>
      </c>
      <c r="B13" s="11">
        <v>1</v>
      </c>
      <c r="C13" s="12">
        <v>1200</v>
      </c>
      <c r="D13" s="12" cm="1">
        <f t="array" ref="D13">C13*B13</f>
        <v>1200</v>
      </c>
      <c r="E13" t="s" s="13">
        <v>20</v>
      </c>
      <c r="F13" s="14"/>
    </row>
    <row r="14" ht="16.95" customHeight="1">
      <c r="A14" t="s" s="10">
        <v>21</v>
      </c>
      <c r="B14" s="11">
        <v>1</v>
      </c>
      <c r="C14" s="12">
        <v>8300</v>
      </c>
      <c r="D14" s="12" cm="1">
        <f t="array" ref="D14">C14*B14</f>
        <v>8300</v>
      </c>
      <c r="E14" t="s" s="13">
        <v>22</v>
      </c>
      <c r="F14" s="14"/>
    </row>
    <row r="15" ht="16.95" customHeight="1">
      <c r="A15" t="s" s="10">
        <v>16</v>
      </c>
      <c r="B15" s="11">
        <v>1</v>
      </c>
      <c r="C15" s="12">
        <v>100000</v>
      </c>
      <c r="D15" s="12" cm="1">
        <f t="array" ref="D15">C15*B15</f>
        <v>100000</v>
      </c>
      <c r="E15" t="s" s="13">
        <v>23</v>
      </c>
      <c r="F15" s="14"/>
    </row>
    <row r="16" ht="16.95" customHeight="1">
      <c r="A16" t="s" s="10">
        <v>14</v>
      </c>
      <c r="B16" s="11">
        <v>50</v>
      </c>
      <c r="C16" s="12">
        <v>480</v>
      </c>
      <c r="D16" s="12" cm="1">
        <f t="array" ref="D16">C16*B16</f>
        <v>24000</v>
      </c>
      <c r="E16" t="s" s="13">
        <v>24</v>
      </c>
      <c r="F16" s="14"/>
    </row>
    <row r="17" ht="16.95" customHeight="1">
      <c r="A17" t="s" s="10">
        <v>15</v>
      </c>
      <c r="B17" s="11">
        <v>50</v>
      </c>
      <c r="C17" s="12">
        <v>20</v>
      </c>
      <c r="D17" s="12" cm="1">
        <f t="array" ref="D17">C17*B17</f>
        <v>1000</v>
      </c>
      <c r="E17" t="s" s="13">
        <v>24</v>
      </c>
      <c r="F17" s="14"/>
    </row>
    <row r="18" ht="16.95" customHeight="1">
      <c r="A18" t="s" s="15">
        <v>25</v>
      </c>
      <c r="B18" s="16">
        <v>40</v>
      </c>
      <c r="C18" s="17">
        <v>100</v>
      </c>
      <c r="D18" s="17" cm="1">
        <f t="array" ref="D18">C18*B18</f>
        <v>4000</v>
      </c>
      <c r="E18" t="s" s="18">
        <v>26</v>
      </c>
      <c r="F18" s="14"/>
    </row>
    <row r="19" ht="16.95" customHeight="1">
      <c r="A19" t="s" s="15">
        <v>27</v>
      </c>
      <c r="B19" s="16">
        <v>1</v>
      </c>
      <c r="C19" s="17">
        <v>650</v>
      </c>
      <c r="D19" s="17" cm="1">
        <f t="array" ref="D19">C19*B19</f>
        <v>650</v>
      </c>
      <c r="E19" t="s" s="18">
        <v>26</v>
      </c>
      <c r="F19" s="14"/>
    </row>
    <row r="20" ht="16.95" customHeight="1">
      <c r="A20" t="s" s="15">
        <v>13</v>
      </c>
      <c r="B20" s="16">
        <v>1</v>
      </c>
      <c r="C20" s="17">
        <v>600</v>
      </c>
      <c r="D20" s="17" cm="1">
        <f t="array" ref="D20">C20*B20</f>
        <v>600</v>
      </c>
      <c r="E20" t="s" s="18">
        <v>26</v>
      </c>
      <c r="F20" s="14"/>
    </row>
    <row r="21" ht="16.95" customHeight="1">
      <c r="A21" t="s" s="15">
        <v>28</v>
      </c>
      <c r="B21" s="16">
        <v>3</v>
      </c>
      <c r="C21" s="17">
        <v>100</v>
      </c>
      <c r="D21" s="17" cm="1">
        <f t="array" ref="D21">C21*B21</f>
        <v>300</v>
      </c>
      <c r="E21" t="s" s="18">
        <v>26</v>
      </c>
      <c r="F21" s="14"/>
    </row>
    <row r="22" ht="16.95" customHeight="1">
      <c r="A22" t="s" s="15">
        <v>28</v>
      </c>
      <c r="B22" s="16">
        <v>4</v>
      </c>
      <c r="C22" s="17">
        <v>100</v>
      </c>
      <c r="D22" s="17" cm="1">
        <f t="array" ref="D22">C22*B22</f>
        <v>400</v>
      </c>
      <c r="E22" t="s" s="18">
        <v>29</v>
      </c>
      <c r="F22" s="14"/>
    </row>
    <row r="23" ht="16.95" customHeight="1">
      <c r="A23" t="s" s="15">
        <v>14</v>
      </c>
      <c r="B23" s="16">
        <v>50</v>
      </c>
      <c r="C23" s="17">
        <v>480</v>
      </c>
      <c r="D23" s="17" cm="1">
        <f t="array" ref="D23">C23*B23</f>
        <v>24000</v>
      </c>
      <c r="E23" t="s" s="18">
        <v>30</v>
      </c>
      <c r="F23" s="14"/>
    </row>
    <row r="24" ht="16.95" customHeight="1">
      <c r="A24" t="s" s="15">
        <v>15</v>
      </c>
      <c r="B24" s="16">
        <v>50</v>
      </c>
      <c r="C24" s="17">
        <v>20</v>
      </c>
      <c r="D24" s="17" cm="1">
        <f t="array" ref="D24">C24*B24</f>
        <v>1000</v>
      </c>
      <c r="E24" t="s" s="18">
        <v>30</v>
      </c>
      <c r="F24" s="14"/>
    </row>
    <row r="25" ht="16.95" customHeight="1">
      <c r="A25" t="s" s="15">
        <v>31</v>
      </c>
      <c r="B25" s="16">
        <v>1</v>
      </c>
      <c r="C25" s="17">
        <v>95000</v>
      </c>
      <c r="D25" s="17" cm="1">
        <f t="array" ref="D25">C25*B25</f>
        <v>95000</v>
      </c>
      <c r="E25" t="s" s="18">
        <v>32</v>
      </c>
      <c r="F25" s="14"/>
    </row>
    <row r="26" ht="16.95" customHeight="1">
      <c r="A26" t="s" s="15">
        <v>8</v>
      </c>
      <c r="B26" s="16">
        <v>25</v>
      </c>
      <c r="C26" s="17">
        <v>540</v>
      </c>
      <c r="D26" s="17" cm="1">
        <f t="array" ref="D26">C26*B26</f>
        <v>13500</v>
      </c>
      <c r="E26" t="s" s="18">
        <v>32</v>
      </c>
      <c r="F26" s="14"/>
    </row>
    <row r="27" ht="16.95" customHeight="1">
      <c r="A27" t="s" s="15">
        <v>33</v>
      </c>
      <c r="B27" s="16">
        <v>280</v>
      </c>
      <c r="C27" s="17">
        <v>330</v>
      </c>
      <c r="D27" s="17" cm="1">
        <f t="array" ref="D27">C27*B27</f>
        <v>92400</v>
      </c>
      <c r="E27" t="s" s="18">
        <v>32</v>
      </c>
      <c r="F27" s="14"/>
    </row>
    <row r="28" ht="16.95" customHeight="1">
      <c r="A28" t="s" s="15">
        <v>10</v>
      </c>
      <c r="B28" s="16">
        <v>125</v>
      </c>
      <c r="C28" s="17">
        <v>140</v>
      </c>
      <c r="D28" s="17" cm="1">
        <f t="array" ref="D28">C28*B28</f>
        <v>17500</v>
      </c>
      <c r="E28" t="s" s="18">
        <v>32</v>
      </c>
      <c r="F28" s="14"/>
    </row>
    <row r="29" ht="16.95" customHeight="1">
      <c r="A29" t="s" s="15">
        <v>12</v>
      </c>
      <c r="B29" s="16">
        <v>3</v>
      </c>
      <c r="C29" s="17">
        <v>400</v>
      </c>
      <c r="D29" s="17" cm="1">
        <f t="array" ref="D29">C29*B29</f>
        <v>1200</v>
      </c>
      <c r="E29" t="s" s="18">
        <v>32</v>
      </c>
      <c r="F29" s="14"/>
    </row>
    <row r="30" ht="16.95" customHeight="1">
      <c r="A30" t="s" s="15">
        <v>34</v>
      </c>
      <c r="B30" s="16">
        <v>1</v>
      </c>
      <c r="C30" s="17">
        <v>3000</v>
      </c>
      <c r="D30" s="17" cm="1">
        <f t="array" ref="D30">C30*B30</f>
        <v>3000</v>
      </c>
      <c r="E30" t="s" s="18">
        <v>32</v>
      </c>
      <c r="F30" s="14"/>
    </row>
    <row r="31" ht="16.95" customHeight="1">
      <c r="A31" t="s" s="15">
        <v>35</v>
      </c>
      <c r="B31" s="16">
        <v>1</v>
      </c>
      <c r="C31" s="17">
        <v>700</v>
      </c>
      <c r="D31" s="17" cm="1">
        <f t="array" ref="D31">C31*B31</f>
        <v>700</v>
      </c>
      <c r="E31" t="s" s="18">
        <v>32</v>
      </c>
      <c r="F31" s="14"/>
    </row>
    <row r="32" ht="16.95" customHeight="1">
      <c r="A32" t="s" s="15">
        <v>36</v>
      </c>
      <c r="B32" s="16">
        <v>1</v>
      </c>
      <c r="C32" s="17">
        <v>250</v>
      </c>
      <c r="D32" s="17" cm="1">
        <f t="array" ref="D32">C32*B32</f>
        <v>250</v>
      </c>
      <c r="E32" t="s" s="18">
        <v>32</v>
      </c>
      <c r="F32" s="14"/>
    </row>
    <row r="33" ht="16.95" customHeight="1">
      <c r="A33" t="s" s="15">
        <v>37</v>
      </c>
      <c r="B33" s="16">
        <v>10</v>
      </c>
      <c r="C33" s="17">
        <v>400</v>
      </c>
      <c r="D33" s="17" cm="1">
        <f t="array" ref="D33">C33*B33</f>
        <v>4000</v>
      </c>
      <c r="E33" t="s" s="18">
        <v>32</v>
      </c>
      <c r="F33" s="14"/>
    </row>
    <row r="34" ht="16.95" customHeight="1">
      <c r="A34" t="s" s="15">
        <v>38</v>
      </c>
      <c r="B34" s="16">
        <v>1</v>
      </c>
      <c r="C34" s="17">
        <v>600</v>
      </c>
      <c r="D34" s="17" cm="1">
        <f t="array" ref="D34">C34*B34</f>
        <v>600</v>
      </c>
      <c r="E34" t="s" s="18">
        <v>32</v>
      </c>
      <c r="F34" s="14"/>
    </row>
    <row r="35" ht="16.95" customHeight="1">
      <c r="A35" t="s" s="15">
        <v>28</v>
      </c>
      <c r="B35" s="16">
        <v>2</v>
      </c>
      <c r="C35" s="17">
        <v>100</v>
      </c>
      <c r="D35" s="17" cm="1">
        <f t="array" ref="D35">C35*B35</f>
        <v>200</v>
      </c>
      <c r="E35" t="s" s="18">
        <v>32</v>
      </c>
      <c r="F35" s="14"/>
    </row>
    <row r="36" ht="16.95" customHeight="1">
      <c r="A36" t="s" s="15">
        <v>21</v>
      </c>
      <c r="B36" s="16">
        <v>1</v>
      </c>
      <c r="C36" s="17">
        <v>8300</v>
      </c>
      <c r="D36" s="17" cm="1">
        <f t="array" ref="D36">C36*B36</f>
        <v>8300</v>
      </c>
      <c r="E36" t="s" s="18">
        <v>32</v>
      </c>
      <c r="F36" s="14"/>
    </row>
    <row r="37" ht="16.95" customHeight="1">
      <c r="A37" t="s" s="19">
        <v>16</v>
      </c>
      <c r="B37" s="20">
        <v>1</v>
      </c>
      <c r="C37" s="21">
        <v>100000</v>
      </c>
      <c r="D37" s="21" cm="1">
        <f t="array" ref="D37">C37*B37</f>
        <v>100000</v>
      </c>
      <c r="E37" t="s" s="22">
        <v>39</v>
      </c>
      <c r="F37" s="14"/>
    </row>
    <row r="38" ht="16.95" customHeight="1">
      <c r="A38" t="s" s="19">
        <v>40</v>
      </c>
      <c r="B38" s="20">
        <v>3</v>
      </c>
      <c r="C38" s="21">
        <v>100</v>
      </c>
      <c r="D38" s="21" cm="1">
        <f t="array" ref="D38">C38*B38</f>
        <v>300</v>
      </c>
      <c r="E38" t="s" s="22">
        <v>41</v>
      </c>
      <c r="F38" s="14"/>
    </row>
    <row r="39" ht="16.95" customHeight="1">
      <c r="A39" t="s" s="19">
        <v>12</v>
      </c>
      <c r="B39" s="20">
        <v>2</v>
      </c>
      <c r="C39" s="21">
        <v>500</v>
      </c>
      <c r="D39" s="21" cm="1">
        <f t="array" ref="D39">C39*B39</f>
        <v>1000</v>
      </c>
      <c r="E39" t="s" s="22">
        <v>41</v>
      </c>
      <c r="F39" s="14"/>
    </row>
    <row r="40" ht="16.95" customHeight="1">
      <c r="A40" t="s" s="19">
        <v>25</v>
      </c>
      <c r="B40" s="20">
        <v>20</v>
      </c>
      <c r="C40" s="21">
        <v>100</v>
      </c>
      <c r="D40" s="21" cm="1">
        <f t="array" ref="D40">C40*B40</f>
        <v>2000</v>
      </c>
      <c r="E40" t="s" s="22">
        <v>42</v>
      </c>
      <c r="F40" s="14"/>
    </row>
    <row r="41" ht="16.95" customHeight="1">
      <c r="A41" t="s" s="19">
        <v>43</v>
      </c>
      <c r="B41" s="20">
        <v>1</v>
      </c>
      <c r="C41" s="21">
        <v>1125</v>
      </c>
      <c r="D41" s="21" cm="1">
        <f t="array" ref="D41">C41*B41</f>
        <v>1125</v>
      </c>
      <c r="E41" t="s" s="22">
        <v>42</v>
      </c>
      <c r="F41" s="14"/>
    </row>
    <row r="42" ht="16.95" customHeight="1">
      <c r="A42" t="s" s="19">
        <v>44</v>
      </c>
      <c r="B42" s="20">
        <v>1</v>
      </c>
      <c r="C42" s="21">
        <v>800</v>
      </c>
      <c r="D42" s="21" cm="1">
        <f t="array" ref="D42">C42*B42</f>
        <v>800</v>
      </c>
      <c r="E42" t="s" s="22">
        <v>42</v>
      </c>
      <c r="F42" s="14"/>
    </row>
    <row r="43" ht="16.95" customHeight="1">
      <c r="A43" t="s" s="19">
        <v>28</v>
      </c>
      <c r="B43" s="20">
        <v>5</v>
      </c>
      <c r="C43" s="21">
        <v>100</v>
      </c>
      <c r="D43" s="21" cm="1">
        <f t="array" ref="D43">C43*B43</f>
        <v>500</v>
      </c>
      <c r="E43" t="s" s="22">
        <v>45</v>
      </c>
      <c r="F43" s="14"/>
    </row>
    <row r="44" ht="16.95" customHeight="1">
      <c r="A44" t="s" s="19">
        <v>46</v>
      </c>
      <c r="B44" s="20">
        <v>2</v>
      </c>
      <c r="C44" s="21">
        <v>100</v>
      </c>
      <c r="D44" s="21" cm="1">
        <f t="array" ref="D44">C44*B44</f>
        <v>200</v>
      </c>
      <c r="E44" t="s" s="22">
        <v>45</v>
      </c>
      <c r="F44" s="14"/>
    </row>
    <row r="45" ht="16.95" customHeight="1">
      <c r="A45" t="s" s="19">
        <v>47</v>
      </c>
      <c r="B45" s="20">
        <v>2</v>
      </c>
      <c r="C45" s="21">
        <v>100</v>
      </c>
      <c r="D45" s="21" cm="1">
        <f t="array" ref="D45">C45*B45</f>
        <v>200</v>
      </c>
      <c r="E45" t="s" s="22">
        <v>45</v>
      </c>
      <c r="F45" s="14"/>
    </row>
    <row r="46" ht="16.95" customHeight="1">
      <c r="A46" t="s" s="19">
        <v>14</v>
      </c>
      <c r="B46" s="20">
        <v>50</v>
      </c>
      <c r="C46" s="21">
        <v>480</v>
      </c>
      <c r="D46" s="21" cm="1">
        <f t="array" ref="D46">C46*B46</f>
        <v>24000</v>
      </c>
      <c r="E46" t="s" s="22">
        <v>48</v>
      </c>
      <c r="F46" s="14"/>
    </row>
    <row r="47" ht="16.95" customHeight="1">
      <c r="A47" t="s" s="19">
        <v>15</v>
      </c>
      <c r="B47" s="20">
        <v>50</v>
      </c>
      <c r="C47" s="21">
        <v>20</v>
      </c>
      <c r="D47" s="21" cm="1">
        <f t="array" ref="D47">C47*B47</f>
        <v>1000</v>
      </c>
      <c r="E47" t="s" s="22">
        <v>48</v>
      </c>
      <c r="F47" s="14"/>
    </row>
    <row r="48" ht="16.95" customHeight="1">
      <c r="A48" t="s" s="19">
        <v>49</v>
      </c>
      <c r="B48" s="20">
        <v>1</v>
      </c>
      <c r="C48" s="21">
        <v>4000</v>
      </c>
      <c r="D48" s="21" cm="1">
        <f t="array" ref="D48">C48*B48</f>
        <v>4000</v>
      </c>
      <c r="E48" t="s" s="22">
        <v>48</v>
      </c>
      <c r="F48" s="14"/>
    </row>
    <row r="49" ht="16.95" customHeight="1">
      <c r="A49" t="s" s="19">
        <v>17</v>
      </c>
      <c r="B49" s="20">
        <v>1</v>
      </c>
      <c r="C49" s="21">
        <v>500</v>
      </c>
      <c r="D49" s="21" cm="1">
        <f t="array" ref="D49">C49*B49</f>
        <v>500</v>
      </c>
      <c r="E49" t="s" s="22">
        <v>50</v>
      </c>
      <c r="F49" s="14"/>
    </row>
    <row r="50" ht="16.95" customHeight="1">
      <c r="A50" t="s" s="19">
        <v>51</v>
      </c>
      <c r="B50" s="20">
        <v>1</v>
      </c>
      <c r="C50" s="21">
        <v>5000</v>
      </c>
      <c r="D50" s="21" cm="1">
        <f t="array" ref="D50">C50*B50</f>
        <v>5000</v>
      </c>
      <c r="E50" t="s" s="22">
        <v>52</v>
      </c>
      <c r="F50" s="14"/>
    </row>
    <row r="51" ht="16.95" customHeight="1">
      <c r="A51" t="s" s="19">
        <v>53</v>
      </c>
      <c r="B51" s="20">
        <v>1</v>
      </c>
      <c r="C51" s="21">
        <v>5000</v>
      </c>
      <c r="D51" s="21" cm="1">
        <f t="array" ref="D51">C51*B51</f>
        <v>5000</v>
      </c>
      <c r="E51" t="s" s="22">
        <v>54</v>
      </c>
      <c r="F51" s="14"/>
    </row>
    <row r="52" ht="16.95" customHeight="1">
      <c r="A52" t="s" s="19">
        <v>14</v>
      </c>
      <c r="B52" s="20">
        <v>50</v>
      </c>
      <c r="C52" s="21">
        <v>480</v>
      </c>
      <c r="D52" s="21" cm="1">
        <f t="array" ref="D52">C52*B52</f>
        <v>24000</v>
      </c>
      <c r="E52" t="s" s="22">
        <v>55</v>
      </c>
      <c r="F52" s="14"/>
    </row>
    <row r="53" ht="16.95" customHeight="1">
      <c r="A53" t="s" s="19">
        <v>15</v>
      </c>
      <c r="B53" s="20">
        <v>50</v>
      </c>
      <c r="C53" s="21">
        <v>20</v>
      </c>
      <c r="D53" s="21" cm="1">
        <f t="array" ref="D53">C53*B53</f>
        <v>1000</v>
      </c>
      <c r="E53" t="s" s="22">
        <v>55</v>
      </c>
      <c r="F53" s="14"/>
    </row>
    <row r="54" ht="16.95" customHeight="1">
      <c r="A54" t="s" s="19">
        <v>17</v>
      </c>
      <c r="B54" s="20">
        <v>1</v>
      </c>
      <c r="C54" s="21">
        <v>400</v>
      </c>
      <c r="D54" s="21" cm="1">
        <f t="array" ref="D54">C54*B54</f>
        <v>400</v>
      </c>
      <c r="E54" t="s" s="22">
        <v>56</v>
      </c>
      <c r="F54" s="14"/>
    </row>
    <row r="55" ht="16.95" customHeight="1">
      <c r="A55" t="s" s="19">
        <v>19</v>
      </c>
      <c r="B55" s="20">
        <v>1</v>
      </c>
      <c r="C55" s="21">
        <v>2700</v>
      </c>
      <c r="D55" s="21" cm="1">
        <f t="array" ref="D55">C55*B55</f>
        <v>2700</v>
      </c>
      <c r="E55" t="s" s="22">
        <v>57</v>
      </c>
      <c r="F55" s="14"/>
    </row>
    <row r="56" ht="16.95" customHeight="1">
      <c r="A56" t="s" s="19">
        <v>58</v>
      </c>
      <c r="B56" s="20">
        <v>1</v>
      </c>
      <c r="C56" s="21">
        <v>600</v>
      </c>
      <c r="D56" s="21" cm="1">
        <f t="array" ref="D56">C56*B56</f>
        <v>600</v>
      </c>
      <c r="E56" t="s" s="22">
        <v>57</v>
      </c>
      <c r="F56" s="14"/>
    </row>
    <row r="57" ht="16.95" customHeight="1">
      <c r="A57" t="s" s="19">
        <v>59</v>
      </c>
      <c r="B57" s="20">
        <v>1</v>
      </c>
      <c r="C57" s="21">
        <v>800</v>
      </c>
      <c r="D57" s="21" cm="1">
        <f t="array" ref="D57">C57*B57</f>
        <v>800</v>
      </c>
      <c r="E57" t="s" s="22">
        <v>57</v>
      </c>
      <c r="F57" s="14"/>
    </row>
    <row r="58" ht="16.95" customHeight="1">
      <c r="A58" t="s" s="23">
        <v>21</v>
      </c>
      <c r="B58" s="24">
        <v>1</v>
      </c>
      <c r="C58" s="25">
        <v>8500</v>
      </c>
      <c r="D58" s="25" cm="1">
        <f t="array" ref="D58">C58*B58</f>
        <v>8500</v>
      </c>
      <c r="E58" s="26">
        <v>45947</v>
      </c>
      <c r="F58" s="27"/>
    </row>
    <row r="59" ht="16.95" customHeight="1">
      <c r="A59" t="s" s="23">
        <v>12</v>
      </c>
      <c r="B59" s="24">
        <v>1</v>
      </c>
      <c r="C59" s="25">
        <v>500</v>
      </c>
      <c r="D59" s="25" cm="1">
        <f t="array" ref="D59">C59*B59</f>
        <v>500</v>
      </c>
      <c r="E59" s="26">
        <v>45947</v>
      </c>
      <c r="F59" s="27"/>
    </row>
    <row r="60" ht="16.95" customHeight="1">
      <c r="A60" t="s" s="23">
        <v>28</v>
      </c>
      <c r="B60" s="24">
        <v>3</v>
      </c>
      <c r="C60" s="25">
        <v>100</v>
      </c>
      <c r="D60" s="25" cm="1">
        <f t="array" ref="D60">C60*B60</f>
        <v>300</v>
      </c>
      <c r="E60" s="26">
        <v>45947</v>
      </c>
      <c r="F60" s="27"/>
    </row>
    <row r="61" ht="16.95" customHeight="1">
      <c r="A61" t="s" s="23">
        <v>17</v>
      </c>
      <c r="B61" s="24">
        <v>1</v>
      </c>
      <c r="C61" s="25">
        <v>435</v>
      </c>
      <c r="D61" s="25" cm="1">
        <f t="array" ref="D61">C61*B61</f>
        <v>435</v>
      </c>
      <c r="E61" s="26">
        <v>45949</v>
      </c>
      <c r="F61" s="27"/>
    </row>
    <row r="62" ht="16.95" customHeight="1">
      <c r="A62" t="s" s="23">
        <v>28</v>
      </c>
      <c r="B62" s="24">
        <v>7</v>
      </c>
      <c r="C62" s="25">
        <v>100</v>
      </c>
      <c r="D62" s="25" cm="1">
        <f t="array" ref="D62">C62*B62</f>
        <v>700</v>
      </c>
      <c r="E62" s="26">
        <v>45950</v>
      </c>
      <c r="F62" s="27"/>
    </row>
    <row r="63" ht="16.95" customHeight="1">
      <c r="A63" t="s" s="23">
        <v>46</v>
      </c>
      <c r="B63" s="24">
        <v>3</v>
      </c>
      <c r="C63" s="25">
        <v>100</v>
      </c>
      <c r="D63" s="25" cm="1">
        <f t="array" ref="D63">C63*B63</f>
        <v>300</v>
      </c>
      <c r="E63" s="26">
        <v>45950</v>
      </c>
      <c r="F63" s="27"/>
    </row>
    <row r="64" ht="16.95" customHeight="1">
      <c r="A64" t="s" s="23">
        <v>60</v>
      </c>
      <c r="B64" s="24">
        <v>1</v>
      </c>
      <c r="C64" s="25">
        <v>2000</v>
      </c>
      <c r="D64" s="25" cm="1">
        <f t="array" ref="D64">C64*B64</f>
        <v>2000</v>
      </c>
      <c r="E64" s="26">
        <v>45950</v>
      </c>
      <c r="F64" s="27"/>
    </row>
    <row r="65" ht="16.95" customHeight="1">
      <c r="A65" t="s" s="23">
        <v>16</v>
      </c>
      <c r="B65" s="24">
        <v>1</v>
      </c>
      <c r="C65" s="25">
        <v>10000</v>
      </c>
      <c r="D65" s="25" cm="1">
        <f t="array" ref="D65">C65*B65</f>
        <v>10000</v>
      </c>
      <c r="E65" s="26">
        <v>45950</v>
      </c>
      <c r="F65" s="27"/>
    </row>
    <row r="66" ht="16.95" customHeight="1">
      <c r="A66" t="s" s="28">
        <v>17</v>
      </c>
      <c r="B66" s="29">
        <v>1</v>
      </c>
      <c r="C66" s="30">
        <v>440</v>
      </c>
      <c r="D66" s="30" cm="1">
        <f t="array" ref="D66">C66*B66</f>
        <v>440</v>
      </c>
      <c r="E66" s="31">
        <v>45953</v>
      </c>
      <c r="F66" s="32"/>
    </row>
    <row r="67" ht="16.95" customHeight="1">
      <c r="A67" t="s" s="23">
        <v>59</v>
      </c>
      <c r="B67" s="24">
        <v>1</v>
      </c>
      <c r="C67" s="25">
        <v>1500</v>
      </c>
      <c r="D67" s="25" cm="1">
        <f t="array" ref="D67">C67*B67</f>
        <v>1500</v>
      </c>
      <c r="E67" s="26">
        <v>45953</v>
      </c>
      <c r="F67" s="32"/>
    </row>
    <row r="68" ht="16.95" customHeight="1">
      <c r="A68" t="s" s="23">
        <v>14</v>
      </c>
      <c r="B68" s="24">
        <v>25</v>
      </c>
      <c r="C68" s="25">
        <v>480</v>
      </c>
      <c r="D68" s="25" cm="1">
        <f t="array" ref="D68">C68*B68</f>
        <v>12000</v>
      </c>
      <c r="E68" s="26">
        <v>45954</v>
      </c>
      <c r="F68" s="32"/>
    </row>
    <row r="69" ht="16.95" customHeight="1">
      <c r="A69" t="s" s="23">
        <v>15</v>
      </c>
      <c r="B69" s="24">
        <v>25</v>
      </c>
      <c r="C69" s="25">
        <v>20</v>
      </c>
      <c r="D69" s="25" cm="1">
        <f t="array" ref="D69">C69*B69</f>
        <v>500</v>
      </c>
      <c r="E69" s="26">
        <v>45954</v>
      </c>
      <c r="F69" s="32"/>
    </row>
    <row r="70" ht="16.95" customHeight="1">
      <c r="A70" t="s" s="23">
        <v>61</v>
      </c>
      <c r="B70" s="24">
        <v>3</v>
      </c>
      <c r="C70" s="25">
        <v>2000</v>
      </c>
      <c r="D70" s="25" cm="1">
        <f t="array" ref="D70">C70*B70</f>
        <v>6000</v>
      </c>
      <c r="E70" s="26">
        <v>45954</v>
      </c>
      <c r="F70" s="32"/>
    </row>
    <row r="71" ht="16.95" customHeight="1">
      <c r="A71" t="s" s="28">
        <v>62</v>
      </c>
      <c r="B71" s="29">
        <v>1</v>
      </c>
      <c r="C71" s="30">
        <v>5000</v>
      </c>
      <c r="D71" s="30" cm="1">
        <f t="array" ref="D71">C71*B71</f>
        <v>5000</v>
      </c>
      <c r="E71" s="31">
        <v>45954</v>
      </c>
      <c r="F71" s="32"/>
    </row>
    <row r="72" ht="16.95" customHeight="1">
      <c r="A72" t="s" s="28">
        <v>17</v>
      </c>
      <c r="B72" s="29">
        <v>1</v>
      </c>
      <c r="C72" s="30">
        <v>500</v>
      </c>
      <c r="D72" s="30" cm="1">
        <f t="array" ref="D72">C72*B72</f>
        <v>500</v>
      </c>
      <c r="E72" s="31">
        <v>45956</v>
      </c>
      <c r="F72" s="32"/>
    </row>
    <row r="73" ht="16.95" customHeight="1">
      <c r="A73" t="s" s="28">
        <v>14</v>
      </c>
      <c r="B73" s="29">
        <v>25</v>
      </c>
      <c r="C73" s="30">
        <v>480</v>
      </c>
      <c r="D73" s="30" cm="1">
        <f t="array" ref="D73">C73*B73</f>
        <v>12000</v>
      </c>
      <c r="E73" s="31">
        <v>45957</v>
      </c>
      <c r="F73" s="32"/>
    </row>
    <row r="74" ht="16.95" customHeight="1">
      <c r="A74" t="s" s="28">
        <v>15</v>
      </c>
      <c r="B74" s="29">
        <v>25</v>
      </c>
      <c r="C74" s="30">
        <v>20</v>
      </c>
      <c r="D74" s="30" cm="1">
        <f t="array" ref="D74">C74*B74</f>
        <v>500</v>
      </c>
      <c r="E74" s="31">
        <v>45957</v>
      </c>
      <c r="F74" s="32"/>
    </row>
    <row r="75" ht="16.95" customHeight="1">
      <c r="A75" t="s" s="28">
        <v>63</v>
      </c>
      <c r="B75" s="29">
        <v>4</v>
      </c>
      <c r="C75" s="30">
        <v>1725</v>
      </c>
      <c r="D75" s="30" cm="1">
        <f t="array" ref="D75">C75*B75</f>
        <v>6900</v>
      </c>
      <c r="E75" s="31">
        <v>45957</v>
      </c>
      <c r="F75" s="32"/>
    </row>
    <row r="76" ht="16.95" customHeight="1">
      <c r="A76" t="s" s="28">
        <v>64</v>
      </c>
      <c r="B76" s="29">
        <v>3</v>
      </c>
      <c r="C76" s="30">
        <v>350</v>
      </c>
      <c r="D76" s="30" cm="1">
        <f t="array" ref="D76">C76*B76</f>
        <v>1050</v>
      </c>
      <c r="E76" s="31">
        <v>45957</v>
      </c>
      <c r="F76" s="32"/>
    </row>
    <row r="77" ht="16.95" customHeight="1">
      <c r="A77" t="s" s="28">
        <v>25</v>
      </c>
      <c r="B77" s="29">
        <v>4</v>
      </c>
      <c r="C77" s="30">
        <v>100</v>
      </c>
      <c r="D77" s="30" cm="1">
        <f t="array" ref="D77">C77*B77</f>
        <v>400</v>
      </c>
      <c r="E77" s="31">
        <v>45957</v>
      </c>
      <c r="F77" s="32"/>
    </row>
    <row r="78" ht="16.95" customHeight="1">
      <c r="A78" t="s" s="28">
        <v>65</v>
      </c>
      <c r="B78" s="29">
        <v>1</v>
      </c>
      <c r="C78" s="30">
        <v>400</v>
      </c>
      <c r="D78" s="30" cm="1">
        <f t="array" ref="D78">C78*B78</f>
        <v>400</v>
      </c>
      <c r="E78" s="31">
        <v>45957</v>
      </c>
      <c r="F78" s="32"/>
    </row>
    <row r="79" ht="16.95" customHeight="1">
      <c r="A79" t="s" s="28">
        <v>19</v>
      </c>
      <c r="B79" s="29">
        <v>1</v>
      </c>
      <c r="C79" s="30">
        <v>1650</v>
      </c>
      <c r="D79" s="30" cm="1">
        <f t="array" ref="D79">C79*B79</f>
        <v>1650</v>
      </c>
      <c r="E79" s="31">
        <v>45957</v>
      </c>
      <c r="F79" s="32"/>
    </row>
    <row r="80" ht="16.95" customHeight="1">
      <c r="A80" t="s" s="28">
        <v>66</v>
      </c>
      <c r="B80" s="29">
        <v>1</v>
      </c>
      <c r="C80" s="30">
        <v>2500</v>
      </c>
      <c r="D80" s="30" cm="1">
        <f t="array" ref="D80">C80*B80</f>
        <v>2500</v>
      </c>
      <c r="E80" s="31">
        <v>45958</v>
      </c>
      <c r="F80" s="32"/>
    </row>
    <row r="81" ht="16.95" customHeight="1">
      <c r="A81" t="s" s="28">
        <v>67</v>
      </c>
      <c r="B81" s="29">
        <v>1</v>
      </c>
      <c r="C81" s="30">
        <v>4000</v>
      </c>
      <c r="D81" s="30" cm="1">
        <f t="array" ref="D81">C81*B81</f>
        <v>4000</v>
      </c>
      <c r="E81" s="31">
        <v>45961</v>
      </c>
      <c r="F81" s="32"/>
    </row>
    <row r="82" ht="16.95" customHeight="1">
      <c r="A82" t="s" s="28">
        <v>68</v>
      </c>
      <c r="B82" s="29">
        <v>1</v>
      </c>
      <c r="C82" s="30" cm="1">
        <f t="array" ref="C82">5675+300</f>
        <v>5975</v>
      </c>
      <c r="D82" s="30" cm="1">
        <f t="array" ref="D82">C82*B82</f>
        <v>5975</v>
      </c>
      <c r="E82" s="31">
        <v>45962</v>
      </c>
      <c r="F82" s="32"/>
    </row>
    <row r="83" ht="16.95" customHeight="1">
      <c r="A83" t="s" s="28">
        <v>69</v>
      </c>
      <c r="B83" s="29">
        <v>3</v>
      </c>
      <c r="C83" s="30">
        <v>1000</v>
      </c>
      <c r="D83" s="30" cm="1">
        <f t="array" ref="D83">C83*B83</f>
        <v>3000</v>
      </c>
      <c r="E83" s="31">
        <v>45962</v>
      </c>
      <c r="F83" s="32"/>
    </row>
    <row r="84" ht="16.95" customHeight="1">
      <c r="A84" t="s" s="28">
        <v>70</v>
      </c>
      <c r="B84" s="29">
        <v>2</v>
      </c>
      <c r="C84" s="30">
        <v>500</v>
      </c>
      <c r="D84" s="30" cm="1">
        <f t="array" ref="D84">C84*B84</f>
        <v>1000</v>
      </c>
      <c r="E84" s="31">
        <v>45962</v>
      </c>
      <c r="F84" s="32"/>
    </row>
    <row r="85" ht="16.95" customHeight="1">
      <c r="A85" t="s" s="28">
        <v>25</v>
      </c>
      <c r="B85" s="29">
        <v>5</v>
      </c>
      <c r="C85" s="30">
        <v>100</v>
      </c>
      <c r="D85" s="30" cm="1">
        <f t="array" ref="D85">C85*B85</f>
        <v>500</v>
      </c>
      <c r="E85" s="31">
        <v>45964</v>
      </c>
      <c r="F85" s="32"/>
    </row>
    <row r="86" ht="16.95" customHeight="1">
      <c r="A86" t="s" s="28">
        <v>28</v>
      </c>
      <c r="B86" s="29">
        <v>1</v>
      </c>
      <c r="C86" s="30">
        <v>100</v>
      </c>
      <c r="D86" s="30" cm="1">
        <f t="array" ref="D86">C86*B86</f>
        <v>100</v>
      </c>
      <c r="E86" s="31">
        <v>45964</v>
      </c>
      <c r="F86" s="32"/>
    </row>
    <row r="87" ht="16.95" customHeight="1">
      <c r="A87" t="s" s="28">
        <v>71</v>
      </c>
      <c r="B87" s="29">
        <v>2</v>
      </c>
      <c r="C87" s="30">
        <v>400</v>
      </c>
      <c r="D87" s="30" cm="1">
        <f t="array" ref="D87">C87*B87</f>
        <v>800</v>
      </c>
      <c r="E87" s="31">
        <v>45965</v>
      </c>
      <c r="F87" s="32"/>
    </row>
    <row r="88" ht="16.95" customHeight="1">
      <c r="A88" t="s" s="28">
        <v>28</v>
      </c>
      <c r="B88" s="29">
        <v>3</v>
      </c>
      <c r="C88" s="30">
        <v>100</v>
      </c>
      <c r="D88" s="30" cm="1">
        <f t="array" ref="D88">C88*B88</f>
        <v>300</v>
      </c>
      <c r="E88" s="31">
        <v>45965</v>
      </c>
      <c r="F88" s="32"/>
    </row>
    <row r="89" ht="16.95" customHeight="1">
      <c r="A89" t="s" s="28">
        <v>72</v>
      </c>
      <c r="B89" s="29">
        <v>1</v>
      </c>
      <c r="C89" s="30">
        <v>500</v>
      </c>
      <c r="D89" s="30" cm="1">
        <f t="array" ref="D89">C89*B89</f>
        <v>500</v>
      </c>
      <c r="E89" s="31">
        <v>45965</v>
      </c>
      <c r="F89" s="32"/>
    </row>
    <row r="90" ht="16.95" customHeight="1">
      <c r="A90" t="s" s="28">
        <v>73</v>
      </c>
      <c r="B90" s="29">
        <v>1</v>
      </c>
      <c r="C90" s="30">
        <v>2050</v>
      </c>
      <c r="D90" s="30" cm="1">
        <f t="array" ref="D90">C90*B90</f>
        <v>2050</v>
      </c>
      <c r="E90" s="31">
        <v>45965</v>
      </c>
      <c r="F90" s="32"/>
    </row>
    <row r="91" ht="16.95" customHeight="1">
      <c r="A91" t="s" s="28">
        <v>14</v>
      </c>
      <c r="B91" s="29">
        <v>25</v>
      </c>
      <c r="C91" s="30">
        <v>480</v>
      </c>
      <c r="D91" s="30" cm="1">
        <f t="array" ref="D91">C91*B91</f>
        <v>12000</v>
      </c>
      <c r="E91" s="31">
        <v>45965</v>
      </c>
      <c r="F91" s="32"/>
    </row>
    <row r="92" ht="16.95" customHeight="1">
      <c r="A92" t="s" s="28">
        <v>15</v>
      </c>
      <c r="B92" s="29">
        <v>25</v>
      </c>
      <c r="C92" s="30">
        <v>20</v>
      </c>
      <c r="D92" s="30" cm="1">
        <f t="array" ref="D92">C92*B92</f>
        <v>500</v>
      </c>
      <c r="E92" s="31">
        <v>45965</v>
      </c>
      <c r="F92" s="32"/>
    </row>
    <row r="93" ht="16.95" customHeight="1">
      <c r="A93" t="s" s="28">
        <v>74</v>
      </c>
      <c r="B93" s="29">
        <v>2</v>
      </c>
      <c r="C93" s="30">
        <v>150</v>
      </c>
      <c r="D93" s="30" cm="1">
        <f t="array" ref="D93">C93*B93</f>
        <v>300</v>
      </c>
      <c r="E93" s="31">
        <v>45965</v>
      </c>
      <c r="F93" s="32"/>
    </row>
    <row r="94" ht="16.95" customHeight="1">
      <c r="A94" t="s" s="28">
        <v>75</v>
      </c>
      <c r="B94" s="29">
        <v>15</v>
      </c>
      <c r="C94" s="30">
        <v>50</v>
      </c>
      <c r="D94" s="30" cm="1">
        <f t="array" ref="D94">C94*B94</f>
        <v>750</v>
      </c>
      <c r="E94" s="31">
        <v>45965</v>
      </c>
      <c r="F94" s="33">
        <v>11681</v>
      </c>
    </row>
    <row r="95" ht="16.95" customHeight="1">
      <c r="A95" t="s" s="28">
        <v>76</v>
      </c>
      <c r="B95" s="29">
        <v>1</v>
      </c>
      <c r="C95" s="30">
        <v>1000</v>
      </c>
      <c r="D95" s="30" cm="1">
        <f t="array" ref="D95">C95*B95</f>
        <v>1000</v>
      </c>
      <c r="E95" s="31">
        <v>45965</v>
      </c>
      <c r="F95" s="34" cm="1">
        <f t="array" ref="F95">SUM(D72:D110)+SUM(J147:J154)</f>
        <v>133889</v>
      </c>
    </row>
    <row r="96" ht="16.95" customHeight="1">
      <c r="A96" t="s" s="28">
        <v>77</v>
      </c>
      <c r="B96" s="29">
        <v>1</v>
      </c>
      <c r="C96" s="30">
        <v>400</v>
      </c>
      <c r="D96" s="30" cm="1">
        <f t="array" ref="D96">C96*B96</f>
        <v>400</v>
      </c>
      <c r="E96" s="31">
        <v>45965</v>
      </c>
      <c r="F96" s="32"/>
    </row>
    <row r="97" ht="16.95" customHeight="1">
      <c r="A97" t="s" s="28">
        <v>78</v>
      </c>
      <c r="B97" s="29">
        <v>1</v>
      </c>
      <c r="C97" s="30">
        <v>4500</v>
      </c>
      <c r="D97" s="30" cm="1">
        <f t="array" ref="D97">C97*B97</f>
        <v>4500</v>
      </c>
      <c r="E97" s="31">
        <v>45966</v>
      </c>
      <c r="F97" s="32"/>
    </row>
    <row r="98" ht="16.95" customHeight="1">
      <c r="A98" t="s" s="28">
        <v>79</v>
      </c>
      <c r="B98" s="29">
        <v>1</v>
      </c>
      <c r="C98" s="30">
        <v>120</v>
      </c>
      <c r="D98" s="30" cm="1">
        <f t="array" ref="D98">C98*B98</f>
        <v>120</v>
      </c>
      <c r="E98" s="31">
        <v>45966</v>
      </c>
      <c r="F98" s="32"/>
    </row>
    <row r="99" ht="16.95" customHeight="1">
      <c r="A99" t="s" s="28">
        <v>80</v>
      </c>
      <c r="B99" s="29">
        <v>3</v>
      </c>
      <c r="C99" s="30" cm="1">
        <f t="array" ref="C99">150*3</f>
        <v>450</v>
      </c>
      <c r="D99" s="30" cm="1">
        <f t="array" ref="D99">C99*B99</f>
        <v>1350</v>
      </c>
      <c r="E99" s="31">
        <v>45967</v>
      </c>
      <c r="F99" s="32"/>
    </row>
    <row r="100" ht="16.95" customHeight="1">
      <c r="A100" t="s" s="28">
        <v>81</v>
      </c>
      <c r="B100" s="29">
        <v>1</v>
      </c>
      <c r="C100" s="30">
        <v>400</v>
      </c>
      <c r="D100" s="30" cm="1">
        <f t="array" ref="D100">C100*B100</f>
        <v>400</v>
      </c>
      <c r="E100" s="31">
        <v>45967</v>
      </c>
      <c r="F100" s="32"/>
    </row>
    <row r="101" ht="16.95" customHeight="1">
      <c r="A101" t="s" s="28">
        <v>25</v>
      </c>
      <c r="B101" s="29">
        <v>5</v>
      </c>
      <c r="C101" s="30">
        <v>100</v>
      </c>
      <c r="D101" s="30" cm="1">
        <f t="array" ref="D101">C101*B101</f>
        <v>500</v>
      </c>
      <c r="E101" s="31">
        <v>45968</v>
      </c>
      <c r="F101" s="32"/>
    </row>
    <row r="102" ht="16.95" customHeight="1">
      <c r="A102" t="s" s="28">
        <v>82</v>
      </c>
      <c r="B102" s="29">
        <v>1</v>
      </c>
      <c r="C102" s="30">
        <v>300</v>
      </c>
      <c r="D102" s="30" cm="1">
        <f t="array" ref="D102">C102*B102</f>
        <v>300</v>
      </c>
      <c r="E102" s="31">
        <v>45968</v>
      </c>
      <c r="F102" s="32"/>
    </row>
    <row r="103" ht="16.95" customHeight="1">
      <c r="A103" t="s" s="28">
        <v>83</v>
      </c>
      <c r="B103" s="29">
        <v>1</v>
      </c>
      <c r="C103" s="30">
        <v>2500</v>
      </c>
      <c r="D103" s="30" cm="1">
        <f t="array" ref="D103">C103*B103</f>
        <v>2500</v>
      </c>
      <c r="E103" s="31">
        <v>45968</v>
      </c>
      <c r="F103" s="32"/>
    </row>
    <row r="104" ht="16.95" customHeight="1">
      <c r="A104" t="s" s="28">
        <v>61</v>
      </c>
      <c r="B104" s="29">
        <v>4</v>
      </c>
      <c r="C104" s="30">
        <v>2000</v>
      </c>
      <c r="D104" s="30" cm="1">
        <f t="array" ref="D104">C104*B104</f>
        <v>8000</v>
      </c>
      <c r="E104" s="31">
        <v>45972</v>
      </c>
      <c r="F104" s="32"/>
    </row>
    <row r="105" ht="16.95" customHeight="1">
      <c r="A105" t="s" s="28">
        <v>84</v>
      </c>
      <c r="B105" s="29">
        <v>1</v>
      </c>
      <c r="C105" s="30">
        <v>2000</v>
      </c>
      <c r="D105" s="30" cm="1">
        <f t="array" ref="D105">C105*B105</f>
        <v>2000</v>
      </c>
      <c r="E105" s="35">
        <v>45975</v>
      </c>
      <c r="F105" s="32"/>
    </row>
    <row r="106" ht="16.95" customHeight="1">
      <c r="A106" t="s" s="28">
        <v>16</v>
      </c>
      <c r="B106" s="29">
        <v>1</v>
      </c>
      <c r="C106" s="30">
        <v>10000</v>
      </c>
      <c r="D106" s="30" cm="1">
        <f t="array" ref="D106">C106*B106</f>
        <v>10000</v>
      </c>
      <c r="E106" s="31">
        <v>45975</v>
      </c>
      <c r="F106" s="32"/>
    </row>
    <row r="107" ht="16.95" customHeight="1">
      <c r="A107" t="s" s="28">
        <v>85</v>
      </c>
      <c r="B107" s="29">
        <v>1</v>
      </c>
      <c r="C107" s="30">
        <v>2600</v>
      </c>
      <c r="D107" s="30" cm="1">
        <f t="array" ref="D107">C107*B107</f>
        <v>2600</v>
      </c>
      <c r="E107" s="36"/>
      <c r="F107" s="32"/>
    </row>
    <row r="108" ht="16.95" customHeight="1">
      <c r="A108" t="s" s="28">
        <v>86</v>
      </c>
      <c r="B108" s="29">
        <v>1</v>
      </c>
      <c r="C108" s="30">
        <v>5500</v>
      </c>
      <c r="D108" s="30" cm="1">
        <f t="array" ref="D108">C108*B108</f>
        <v>5500</v>
      </c>
      <c r="E108" s="36"/>
      <c r="F108" s="32"/>
    </row>
    <row r="109" ht="16.95" customHeight="1">
      <c r="A109" t="s" s="28">
        <v>87</v>
      </c>
      <c r="B109" s="29">
        <v>1</v>
      </c>
      <c r="C109" s="30">
        <v>2994</v>
      </c>
      <c r="D109" s="30" cm="1">
        <f t="array" ref="D109">C109*B109</f>
        <v>2994</v>
      </c>
      <c r="E109" s="31">
        <v>45978</v>
      </c>
      <c r="F109" s="32"/>
    </row>
    <row r="110" ht="16.95" customHeight="1">
      <c r="A110" t="s" s="28">
        <v>88</v>
      </c>
      <c r="B110" s="29">
        <v>1</v>
      </c>
      <c r="C110" s="30">
        <v>1000</v>
      </c>
      <c r="D110" s="30" cm="1">
        <f t="array" ref="D110">C110*B110</f>
        <v>1000</v>
      </c>
      <c r="E110" s="31">
        <v>45978</v>
      </c>
      <c r="F110" s="32"/>
    </row>
    <row r="111" ht="16.95" customHeight="1">
      <c r="A111" t="s" s="28">
        <v>89</v>
      </c>
      <c r="B111" s="29">
        <v>1</v>
      </c>
      <c r="C111" s="30">
        <v>500</v>
      </c>
      <c r="D111" s="30" cm="1">
        <f t="array" ref="D111">C111*B111</f>
        <v>500</v>
      </c>
      <c r="E111" s="31">
        <v>46008</v>
      </c>
      <c r="F111" s="32"/>
    </row>
    <row r="112" ht="16.95" customHeight="1">
      <c r="A112" s="37"/>
      <c r="B112" s="37"/>
      <c r="C112" s="30"/>
      <c r="D112" s="37"/>
      <c r="E112" s="36"/>
      <c r="F112" s="32"/>
    </row>
    <row r="113" ht="16.95" customHeight="1">
      <c r="A113" s="37"/>
      <c r="B113" s="37"/>
      <c r="C113" s="30"/>
      <c r="D113" s="37"/>
      <c r="E113" s="36"/>
      <c r="F113" s="32"/>
    </row>
    <row r="114" ht="16.95" customHeight="1">
      <c r="A114" s="37"/>
      <c r="B114" s="37"/>
      <c r="C114" s="30"/>
      <c r="D114" s="37"/>
      <c r="E114" s="36"/>
      <c r="F114" s="32"/>
    </row>
    <row r="115" ht="17.95" customHeight="1">
      <c r="A115" t="s" s="38">
        <v>90</v>
      </c>
      <c r="B115" s="39"/>
      <c r="C115" s="40"/>
      <c r="D115" s="41" cm="1">
        <f t="array" ref="D115">SUM(D3:D50)+SUM(D51:D111)</f>
        <v>891969</v>
      </c>
      <c r="E115" s="42"/>
      <c r="F115" s="27"/>
    </row>
    <row r="116" ht="16.95" customHeight="1">
      <c r="A116" s="43"/>
      <c r="B116" s="43"/>
      <c r="C116" s="44"/>
      <c r="D116" s="45"/>
      <c r="E116" s="46"/>
      <c r="F116" s="27"/>
    </row>
    <row r="117" ht="16.95" customHeight="1">
      <c r="A117" s="43"/>
      <c r="B117" s="43"/>
      <c r="C117" s="44"/>
      <c r="D117" s="45"/>
      <c r="E117" s="46"/>
      <c r="F117" s="27"/>
    </row>
    <row r="118" ht="16.95" customHeight="1">
      <c r="A118" t="s" s="47">
        <v>91</v>
      </c>
      <c r="B118" s="48">
        <v>1</v>
      </c>
      <c r="C118" s="44">
        <v>20000</v>
      </c>
      <c r="D118" s="49">
        <v>20000</v>
      </c>
      <c r="E118" t="s" s="50">
        <v>54</v>
      </c>
      <c r="F118" s="27"/>
    </row>
    <row r="119" ht="16.95" customHeight="1">
      <c r="A119" s="43"/>
      <c r="B119" s="43"/>
      <c r="C119" s="44"/>
      <c r="D119" s="45"/>
      <c r="E119" s="46"/>
      <c r="F119" s="27"/>
    </row>
    <row r="120" ht="16.95" customHeight="1">
      <c r="A120" s="43"/>
      <c r="B120" s="43"/>
      <c r="C120" s="44"/>
      <c r="D120" s="45"/>
      <c r="E120" s="46"/>
      <c r="F120" s="27"/>
    </row>
    <row r="121" ht="16.95" customHeight="1">
      <c r="A121" s="43"/>
      <c r="B121" s="43"/>
      <c r="C121" s="44"/>
      <c r="D121" s="45"/>
      <c r="E121" s="46"/>
      <c r="F121" s="27"/>
    </row>
    <row r="122" ht="16.95" customHeight="1">
      <c r="A122" s="43"/>
      <c r="B122" s="43"/>
      <c r="C122" s="44"/>
      <c r="D122" s="45"/>
      <c r="E122" s="46"/>
      <c r="F122" s="27"/>
    </row>
    <row r="123" ht="17.8" customHeight="1">
      <c r="A123" s="51"/>
      <c r="B123" s="51"/>
      <c r="C123" s="52"/>
      <c r="D123" s="53"/>
      <c r="E123" s="54"/>
      <c r="F123" s="27"/>
    </row>
    <row r="124" ht="18.6" customHeight="1">
      <c r="A124" t="s" s="55">
        <v>92</v>
      </c>
      <c r="B124" s="56"/>
      <c r="C124" s="57" cm="1">
        <f t="array" ref="C124">D124*73.5</f>
        <v>294000</v>
      </c>
      <c r="D124" s="58">
        <v>4000</v>
      </c>
      <c r="E124" t="s" s="59">
        <v>93</v>
      </c>
      <c r="F124" s="60"/>
    </row>
    <row r="125" ht="15.7" customHeight="1">
      <c r="A125" s="61"/>
      <c r="B125" s="56"/>
      <c r="C125" s="56"/>
      <c r="D125" s="56"/>
      <c r="E125" s="62"/>
      <c r="F125" s="60"/>
    </row>
    <row r="126" ht="18.6" customHeight="1">
      <c r="A126" t="s" s="55">
        <v>94</v>
      </c>
      <c r="B126" s="56"/>
      <c r="C126" s="57" cm="1">
        <f t="array" ref="C126">D126*73.5</f>
        <v>367500</v>
      </c>
      <c r="D126" s="58">
        <v>5000</v>
      </c>
      <c r="E126" t="s" s="59">
        <v>93</v>
      </c>
      <c r="F126" s="60"/>
    </row>
    <row r="127" ht="15.7" customHeight="1">
      <c r="A127" s="61"/>
      <c r="B127" s="56"/>
      <c r="C127" s="56"/>
      <c r="D127" s="56"/>
      <c r="E127" s="62"/>
      <c r="F127" s="60"/>
    </row>
    <row r="128" ht="18.6" customHeight="1">
      <c r="A128" t="s" s="55">
        <v>95</v>
      </c>
      <c r="B128" s="56"/>
      <c r="C128" s="57" cm="1">
        <f t="array" ref="C128">D128*73.6</f>
        <v>147200</v>
      </c>
      <c r="D128" s="58">
        <v>2000</v>
      </c>
      <c r="E128" t="s" s="59">
        <v>96</v>
      </c>
      <c r="F128" s="60"/>
    </row>
    <row r="129" ht="15.7" customHeight="1">
      <c r="A129" s="61"/>
      <c r="B129" s="56"/>
      <c r="C129" s="56"/>
      <c r="D129" s="56"/>
      <c r="E129" s="62"/>
      <c r="F129" s="60"/>
    </row>
    <row r="130" ht="18.6" customHeight="1">
      <c r="A130" t="s" s="55">
        <v>97</v>
      </c>
      <c r="B130" s="56"/>
      <c r="C130" s="63" cm="1">
        <f t="array" ref="C130">D130*74</f>
        <v>148000</v>
      </c>
      <c r="D130" s="64">
        <v>2000</v>
      </c>
      <c r="E130" t="s" s="59">
        <v>98</v>
      </c>
      <c r="F130" s="60"/>
    </row>
    <row r="131" ht="15.7" customHeight="1">
      <c r="A131" s="61"/>
      <c r="B131" s="56"/>
      <c r="C131" s="56"/>
      <c r="D131" s="56"/>
      <c r="E131" s="62"/>
      <c r="F131" s="60"/>
    </row>
    <row r="132" ht="18.6" customHeight="1">
      <c r="A132" t="s" s="55">
        <v>99</v>
      </c>
      <c r="B132" s="56"/>
      <c r="C132" s="56"/>
      <c r="D132" s="56"/>
      <c r="E132" s="62"/>
      <c r="F132" s="60"/>
    </row>
    <row r="133" ht="15.7" customHeight="1">
      <c r="A133" s="61"/>
      <c r="B133" s="56"/>
      <c r="C133" s="56"/>
      <c r="D133" s="56"/>
      <c r="E133" s="62"/>
      <c r="F133" s="60"/>
    </row>
    <row r="134" ht="19.6" customHeight="1">
      <c r="A134" t="s" s="65">
        <v>100</v>
      </c>
      <c r="B134" s="56"/>
      <c r="C134" s="66" cm="1">
        <f t="array" ref="C134">C124+C126+C128+C130</f>
        <v>956700</v>
      </c>
      <c r="D134" s="67" cm="1">
        <f t="array" ref="D134">D124+D126+D128+D130</f>
        <v>13000</v>
      </c>
      <c r="E134" s="62"/>
      <c r="F134" s="60"/>
    </row>
    <row r="135" ht="14.85" customHeight="1">
      <c r="A135" s="68"/>
      <c r="B135" s="69"/>
      <c r="C135" s="69"/>
      <c r="D135" s="69"/>
      <c r="E135" s="70"/>
      <c r="F135" s="60"/>
    </row>
    <row r="136" ht="14.85" customHeight="1">
      <c r="A136" s="71"/>
      <c r="B136" s="72"/>
      <c r="C136" s="72"/>
      <c r="D136" s="72"/>
      <c r="E136" s="73"/>
      <c r="F136" s="60"/>
    </row>
    <row r="137" ht="19.6" customHeight="1">
      <c r="A137" t="s" s="65">
        <v>101</v>
      </c>
      <c r="B137" s="56"/>
      <c r="C137" s="56"/>
      <c r="D137" s="74" cm="1">
        <f t="array" ref="D137">D115+D118</f>
        <v>911969</v>
      </c>
      <c r="E137" s="62"/>
      <c r="F137" s="60"/>
    </row>
    <row r="138" ht="15.7" customHeight="1">
      <c r="A138" s="61"/>
      <c r="B138" s="56"/>
      <c r="C138" s="56"/>
      <c r="D138" s="56"/>
      <c r="E138" s="62"/>
      <c r="F138" s="60"/>
    </row>
    <row r="139" ht="19.6" customHeight="1">
      <c r="A139" t="s" s="65">
        <v>102</v>
      </c>
      <c r="B139" s="56"/>
      <c r="C139" s="75"/>
      <c r="D139" s="76" cm="1">
        <f t="array" ref="D139">C134-C143-44731</f>
        <v>911969</v>
      </c>
      <c r="E139" s="62"/>
      <c r="F139" s="60"/>
    </row>
    <row r="140" ht="17.8" customHeight="1">
      <c r="A140" s="69"/>
      <c r="B140" s="69"/>
      <c r="C140" s="77"/>
      <c r="D140" s="78"/>
      <c r="E140" s="79"/>
      <c r="F140" s="27"/>
    </row>
    <row r="141" ht="16.95" customHeight="1">
      <c r="A141" s="27"/>
      <c r="B141" s="27"/>
      <c r="C141" s="80"/>
      <c r="D141" s="45"/>
      <c r="E141" s="46"/>
      <c r="F141" s="27"/>
    </row>
    <row r="142" ht="16.95" customHeight="1">
      <c r="A142" s="27"/>
      <c r="B142" s="27"/>
      <c r="C142" s="80"/>
      <c r="D142" s="45"/>
      <c r="E142" s="46"/>
      <c r="F142" s="27"/>
    </row>
    <row r="143" ht="16.95" customHeight="1">
      <c r="A143" s="27"/>
      <c r="B143" s="27"/>
      <c r="C143" s="80"/>
      <c r="D143" s="45"/>
      <c r="E143" s="46"/>
      <c r="F143" s="27"/>
    </row>
    <row r="145" ht="30.55" customHeight="1">
      <c r="G145" t="s" s="2">
        <v>103</v>
      </c>
      <c r="H145" s="2"/>
      <c r="I145" s="2"/>
      <c r="J145" s="2"/>
      <c r="K145" s="2"/>
      <c r="L145" s="2"/>
    </row>
    <row r="146" ht="23.2" customHeight="1">
      <c r="G146" t="s" s="3">
        <v>1</v>
      </c>
      <c r="H146" t="s" s="3">
        <v>2</v>
      </c>
      <c r="I146" t="s" s="3">
        <v>3</v>
      </c>
      <c r="J146" t="s" s="3">
        <v>4</v>
      </c>
      <c r="K146" t="s" s="3">
        <v>5</v>
      </c>
      <c r="L146" t="s" s="3">
        <v>104</v>
      </c>
    </row>
    <row r="147" ht="20.25" customHeight="1">
      <c r="G147" t="s" s="82">
        <v>105</v>
      </c>
      <c r="H147" s="83">
        <v>100</v>
      </c>
      <c r="I147" s="84">
        <v>100</v>
      </c>
      <c r="J147" s="84" cm="1">
        <f t="array" ref="J147">I147*H147</f>
        <v>10000</v>
      </c>
      <c r="K147" s="85">
        <v>45996</v>
      </c>
      <c r="L147" s="86"/>
    </row>
    <row r="148" ht="20.05" customHeight="1">
      <c r="G148" t="s" s="87">
        <v>106</v>
      </c>
      <c r="H148" s="88">
        <v>1</v>
      </c>
      <c r="I148" s="89">
        <v>1000</v>
      </c>
      <c r="J148" s="89" cm="1">
        <f t="array" ref="J148">I148*H148</f>
        <v>1000</v>
      </c>
      <c r="K148" s="90">
        <v>45996</v>
      </c>
      <c r="L148" s="91"/>
    </row>
    <row r="149" ht="20.05" customHeight="1">
      <c r="G149" t="s" s="87">
        <v>107</v>
      </c>
      <c r="H149" s="88">
        <v>5</v>
      </c>
      <c r="I149" s="89">
        <v>200</v>
      </c>
      <c r="J149" s="89" cm="1">
        <f t="array" ref="J149">I149*H149</f>
        <v>1000</v>
      </c>
      <c r="K149" s="90">
        <v>45996</v>
      </c>
      <c r="L149" s="91"/>
    </row>
    <row r="150" ht="20.05" customHeight="1">
      <c r="G150" t="s" s="87">
        <v>108</v>
      </c>
      <c r="H150" s="88">
        <v>45</v>
      </c>
      <c r="I150" s="89">
        <v>30</v>
      </c>
      <c r="J150" s="89" cm="1">
        <f t="array" ref="J150">I150*H150</f>
        <v>1350</v>
      </c>
      <c r="K150" s="90">
        <v>45996</v>
      </c>
      <c r="L150" s="91"/>
    </row>
    <row r="151" ht="20.05" customHeight="1">
      <c r="G151" t="s" s="87">
        <v>109</v>
      </c>
      <c r="H151" s="88">
        <v>35</v>
      </c>
      <c r="I151" s="89">
        <v>100</v>
      </c>
      <c r="J151" s="89" cm="1">
        <f t="array" ref="J151">I151*H151</f>
        <v>3500</v>
      </c>
      <c r="K151" s="90">
        <v>45997</v>
      </c>
      <c r="L151" s="91"/>
    </row>
    <row r="152" ht="20.05" customHeight="1">
      <c r="G152" t="s" s="87">
        <v>110</v>
      </c>
      <c r="H152" s="88">
        <v>2</v>
      </c>
      <c r="I152" s="89">
        <v>350</v>
      </c>
      <c r="J152" s="89" cm="1">
        <f t="array" ref="J152">I152*H152</f>
        <v>700</v>
      </c>
      <c r="K152" s="90">
        <v>45997</v>
      </c>
      <c r="L152" s="91"/>
    </row>
    <row r="153" ht="20.05" customHeight="1">
      <c r="G153" t="s" s="87">
        <v>111</v>
      </c>
      <c r="H153" s="88">
        <v>1</v>
      </c>
      <c r="I153" s="89">
        <v>500</v>
      </c>
      <c r="J153" s="89" cm="1">
        <f t="array" ref="J153">I153*H153</f>
        <v>500</v>
      </c>
      <c r="K153" s="90">
        <v>45997</v>
      </c>
      <c r="L153" s="91"/>
    </row>
    <row r="154" ht="20.05" customHeight="1">
      <c r="G154" t="s" s="87">
        <v>112</v>
      </c>
      <c r="H154" s="88">
        <v>1</v>
      </c>
      <c r="I154" s="89">
        <v>15000</v>
      </c>
      <c r="J154" s="89" cm="1">
        <f t="array" ref="J154">I154*H154</f>
        <v>15000</v>
      </c>
      <c r="K154" s="90">
        <v>45997</v>
      </c>
      <c r="L154" t="s" s="92">
        <v>113</v>
      </c>
    </row>
    <row r="155" ht="20.05" customHeight="1">
      <c r="G155" t="s" s="93">
        <v>114</v>
      </c>
      <c r="H155" s="94">
        <v>350</v>
      </c>
      <c r="I155" s="95">
        <v>5</v>
      </c>
      <c r="J155" s="95" cm="1">
        <f t="array" ref="J155">H155*I155*30</f>
        <v>52500</v>
      </c>
      <c r="K155" s="96">
        <v>46004</v>
      </c>
      <c r="L155" s="97"/>
    </row>
    <row r="156" ht="20.05" customHeight="1">
      <c r="G156" t="s" s="93">
        <v>115</v>
      </c>
      <c r="H156" s="94">
        <v>17</v>
      </c>
      <c r="I156" s="95">
        <v>100</v>
      </c>
      <c r="J156" s="95" cm="1">
        <f t="array" ref="J156">H156*I156</f>
        <v>1700</v>
      </c>
      <c r="K156" s="96">
        <v>46004</v>
      </c>
      <c r="L156" s="97"/>
    </row>
    <row r="157" ht="20.05" customHeight="1">
      <c r="G157" t="s" s="93">
        <v>116</v>
      </c>
      <c r="H157" s="94">
        <v>4</v>
      </c>
      <c r="I157" s="95">
        <v>2500</v>
      </c>
      <c r="J157" s="95" cm="1">
        <f t="array" ref="J157">I157*H157</f>
        <v>10000</v>
      </c>
      <c r="K157" s="96">
        <v>46004</v>
      </c>
      <c r="L157" s="97"/>
    </row>
    <row r="158" ht="20.05" customHeight="1">
      <c r="G158" t="s" s="93">
        <v>112</v>
      </c>
      <c r="H158" s="94">
        <v>1</v>
      </c>
      <c r="I158" s="95">
        <v>5000</v>
      </c>
      <c r="J158" s="95" cm="1">
        <f t="array" ref="J158">I158*H158</f>
        <v>5000</v>
      </c>
      <c r="K158" s="96">
        <v>46014</v>
      </c>
      <c r="L158" s="97"/>
    </row>
    <row r="159" ht="20.05" customHeight="1">
      <c r="G159" t="s" s="93">
        <v>117</v>
      </c>
      <c r="H159" s="94">
        <v>400</v>
      </c>
      <c r="I159" s="98">
        <v>2.5</v>
      </c>
      <c r="J159" s="95" cm="1">
        <f t="array" ref="J159">H159*I159*27</f>
        <v>27000</v>
      </c>
      <c r="K159" s="96">
        <v>46006</v>
      </c>
      <c r="L159" s="97"/>
    </row>
    <row r="160" ht="20.05" customHeight="1">
      <c r="G160" t="s" s="93">
        <v>118</v>
      </c>
      <c r="H160" s="94">
        <v>1</v>
      </c>
      <c r="I160" s="95">
        <v>600</v>
      </c>
      <c r="J160" s="95" cm="1">
        <f t="array" ref="J160">I160*H160</f>
        <v>600</v>
      </c>
      <c r="K160" s="96">
        <v>46008</v>
      </c>
      <c r="L160" s="97"/>
    </row>
    <row r="161" ht="20.05" customHeight="1">
      <c r="G161" t="s" s="93">
        <v>119</v>
      </c>
      <c r="H161" s="94">
        <v>2</v>
      </c>
      <c r="I161" s="95">
        <v>300</v>
      </c>
      <c r="J161" s="95" cm="1">
        <f t="array" ref="J161">I161*H161</f>
        <v>600</v>
      </c>
      <c r="K161" s="96">
        <v>46008</v>
      </c>
      <c r="L161" s="97"/>
    </row>
    <row r="162" ht="20.05" customHeight="1">
      <c r="G162" t="s" s="93">
        <v>120</v>
      </c>
      <c r="H162" s="94">
        <v>1</v>
      </c>
      <c r="I162" s="95">
        <v>500</v>
      </c>
      <c r="J162" s="95" cm="1">
        <f t="array" ref="J162">I162*H162</f>
        <v>500</v>
      </c>
      <c r="K162" s="96">
        <v>46008</v>
      </c>
      <c r="L162" s="97"/>
    </row>
    <row r="163" ht="20.05" customHeight="1">
      <c r="G163" t="s" s="93">
        <v>121</v>
      </c>
      <c r="H163" s="94">
        <v>65</v>
      </c>
      <c r="I163" s="95">
        <v>20</v>
      </c>
      <c r="J163" s="95">
        <v>32500</v>
      </c>
      <c r="K163" s="96">
        <v>46009</v>
      </c>
      <c r="L163" s="97"/>
    </row>
    <row r="164" ht="20.05" customHeight="1">
      <c r="G164" t="s" s="93">
        <v>122</v>
      </c>
      <c r="H164" s="94">
        <v>8</v>
      </c>
      <c r="I164" s="95">
        <v>100</v>
      </c>
      <c r="J164" s="95" cm="1">
        <f t="array" ref="J164">H164*I164</f>
        <v>800</v>
      </c>
      <c r="K164" s="96">
        <v>46011</v>
      </c>
      <c r="L164" s="97"/>
    </row>
    <row r="165" ht="20.05" customHeight="1">
      <c r="G165" t="s" s="93">
        <v>63</v>
      </c>
      <c r="H165" s="94">
        <v>30</v>
      </c>
      <c r="I165" s="95">
        <v>1700</v>
      </c>
      <c r="J165" s="95" cm="1">
        <f t="array" ref="J165">I165*H165</f>
        <v>51000</v>
      </c>
      <c r="K165" t="s" s="96">
        <v>123</v>
      </c>
      <c r="L165" s="97"/>
    </row>
    <row r="166" ht="20.05" customHeight="1">
      <c r="G166" t="s" s="93">
        <v>117</v>
      </c>
      <c r="H166" s="94">
        <v>50</v>
      </c>
      <c r="I166" s="98">
        <v>2.5</v>
      </c>
      <c r="J166" s="95" cm="1">
        <f t="array" ref="J166">H166*I166*20-2100</f>
        <v>400</v>
      </c>
      <c r="K166" s="96">
        <v>46013</v>
      </c>
      <c r="L166" s="97"/>
    </row>
    <row r="167" ht="20.05" customHeight="1">
      <c r="G167" t="s" s="93">
        <v>116</v>
      </c>
      <c r="H167" s="94">
        <v>1</v>
      </c>
      <c r="I167" s="95">
        <v>2000</v>
      </c>
      <c r="J167" s="95" cm="1">
        <f t="array" ref="J167">I167*H167</f>
        <v>2000</v>
      </c>
      <c r="K167" s="96">
        <v>46013</v>
      </c>
      <c r="L167" s="97"/>
    </row>
    <row r="168" ht="20.05" customHeight="1">
      <c r="G168" t="s" s="93">
        <v>33</v>
      </c>
      <c r="H168" s="94">
        <v>500</v>
      </c>
      <c r="I168" s="95">
        <v>330</v>
      </c>
      <c r="J168" s="95" cm="1">
        <f t="array" ref="J168">I168*H168</f>
        <v>165000</v>
      </c>
      <c r="K168" s="96">
        <v>46014</v>
      </c>
      <c r="L168" s="97"/>
    </row>
    <row r="169" ht="20.05" customHeight="1">
      <c r="G169" t="s" s="93">
        <v>8</v>
      </c>
      <c r="H169" s="94">
        <v>30</v>
      </c>
      <c r="I169" s="95">
        <v>500</v>
      </c>
      <c r="J169" s="95" cm="1">
        <f t="array" ref="J169">I169*H169</f>
        <v>15000</v>
      </c>
      <c r="K169" s="96">
        <v>46014</v>
      </c>
      <c r="L169" s="97"/>
    </row>
    <row r="170" ht="20.05" customHeight="1">
      <c r="G170" t="s" s="93">
        <v>10</v>
      </c>
      <c r="H170" s="94">
        <v>35</v>
      </c>
      <c r="I170" s="95">
        <v>130</v>
      </c>
      <c r="J170" s="95" cm="1">
        <f t="array" ref="J170">I170*H170</f>
        <v>4550</v>
      </c>
      <c r="K170" s="96">
        <v>46014</v>
      </c>
      <c r="L170" s="97"/>
    </row>
    <row r="171" ht="20.05" customHeight="1">
      <c r="G171" t="s" s="93">
        <v>124</v>
      </c>
      <c r="H171" s="94">
        <v>3</v>
      </c>
      <c r="I171" s="95">
        <v>400</v>
      </c>
      <c r="J171" s="95" cm="1">
        <f t="array" ref="J171">I171*H171</f>
        <v>1200</v>
      </c>
      <c r="K171" s="96">
        <v>46014</v>
      </c>
      <c r="L171" s="97"/>
    </row>
    <row r="172" ht="20.05" customHeight="1">
      <c r="G172" t="s" s="93">
        <v>116</v>
      </c>
      <c r="H172" s="94">
        <v>1</v>
      </c>
      <c r="I172" s="95">
        <v>5000</v>
      </c>
      <c r="J172" s="95" cm="1">
        <f t="array" ref="J172">I172*H172</f>
        <v>5000</v>
      </c>
      <c r="K172" s="96">
        <v>46014</v>
      </c>
      <c r="L172" s="97"/>
    </row>
    <row r="173" ht="20.05" customHeight="1">
      <c r="G173" t="s" s="93">
        <v>112</v>
      </c>
      <c r="H173" s="94">
        <v>1</v>
      </c>
      <c r="I173" s="95">
        <v>5000</v>
      </c>
      <c r="J173" s="95" cm="1">
        <f t="array" ref="J173">I173*H173</f>
        <v>5000</v>
      </c>
      <c r="K173" s="96">
        <v>46014</v>
      </c>
      <c r="L173" s="97"/>
    </row>
    <row r="174" ht="20.05" customHeight="1">
      <c r="G174" t="s" s="93">
        <v>125</v>
      </c>
      <c r="H174" s="94">
        <v>1</v>
      </c>
      <c r="I174" s="95">
        <v>11000</v>
      </c>
      <c r="J174" s="95" cm="1">
        <f t="array" ref="J174">I174*H174</f>
        <v>11000</v>
      </c>
      <c r="K174" s="96">
        <v>46014</v>
      </c>
      <c r="L174" s="97"/>
    </row>
    <row r="175" ht="20.05" customHeight="1">
      <c r="G175" t="s" s="93">
        <v>126</v>
      </c>
      <c r="H175" s="94">
        <v>1</v>
      </c>
      <c r="I175" s="95">
        <v>110</v>
      </c>
      <c r="J175" s="95" cm="1">
        <f t="array" ref="J175">I175*H175</f>
        <v>110</v>
      </c>
      <c r="K175" s="96">
        <v>46014</v>
      </c>
      <c r="L175" s="97"/>
    </row>
    <row r="176" ht="20.05" customHeight="1">
      <c r="G176" t="s" s="93">
        <v>63</v>
      </c>
      <c r="H176" s="94">
        <v>12</v>
      </c>
      <c r="I176" s="95">
        <v>1700</v>
      </c>
      <c r="J176" s="95" cm="1">
        <f t="array" ref="J176">H176*I176</f>
        <v>20400</v>
      </c>
      <c r="K176" s="96">
        <v>46015</v>
      </c>
      <c r="L176" s="97"/>
    </row>
    <row r="177" ht="20.05" customHeight="1">
      <c r="G177" t="s" s="93">
        <v>77</v>
      </c>
      <c r="H177" s="94">
        <v>1</v>
      </c>
      <c r="I177" s="95">
        <v>500</v>
      </c>
      <c r="J177" s="95" cm="1">
        <f t="array" ref="J177">H177*I177</f>
        <v>500</v>
      </c>
      <c r="K177" s="96">
        <v>46015</v>
      </c>
      <c r="L177" s="97"/>
    </row>
    <row r="178" ht="20.05" customHeight="1">
      <c r="G178" t="s" s="93">
        <v>127</v>
      </c>
      <c r="H178" s="94">
        <v>1</v>
      </c>
      <c r="I178" s="95">
        <v>500</v>
      </c>
      <c r="J178" s="95" cm="1">
        <f t="array" ref="J178">I178*H178</f>
        <v>500</v>
      </c>
      <c r="K178" s="96">
        <v>46015</v>
      </c>
      <c r="L178" s="97"/>
    </row>
    <row r="179" ht="20.05" customHeight="1">
      <c r="G179" t="s" s="93">
        <v>128</v>
      </c>
      <c r="H179" s="94">
        <v>1</v>
      </c>
      <c r="I179" s="95">
        <v>200</v>
      </c>
      <c r="J179" s="95" cm="1">
        <f t="array" ref="J179">I179*H179</f>
        <v>200</v>
      </c>
      <c r="K179" s="96">
        <v>46015</v>
      </c>
      <c r="L179" s="97"/>
    </row>
    <row r="180" ht="20.05" customHeight="1">
      <c r="G180" t="s" s="99">
        <v>129</v>
      </c>
      <c r="H180" s="100">
        <v>1</v>
      </c>
      <c r="I180" s="101">
        <v>19132</v>
      </c>
      <c r="J180" s="101" cm="1">
        <f t="array" ref="J180">I180*H180-132</f>
        <v>19000</v>
      </c>
      <c r="K180" s="102">
        <v>46017</v>
      </c>
      <c r="L180" s="103"/>
    </row>
    <row r="181" ht="20.05" customHeight="1">
      <c r="G181" t="s" s="99">
        <v>116</v>
      </c>
      <c r="H181" s="100">
        <v>1</v>
      </c>
      <c r="I181" s="101">
        <v>300</v>
      </c>
      <c r="J181" s="101" cm="1">
        <f t="array" ref="J181">I181*H181</f>
        <v>300</v>
      </c>
      <c r="K181" s="102">
        <v>46017</v>
      </c>
      <c r="L181" s="103"/>
    </row>
    <row r="182" ht="20.05" customHeight="1">
      <c r="G182" t="s" s="99">
        <v>63</v>
      </c>
      <c r="H182" s="100">
        <v>10</v>
      </c>
      <c r="I182" s="101">
        <v>1700</v>
      </c>
      <c r="J182" s="101" cm="1">
        <f t="array" ref="J182">I182*H182</f>
        <v>17000</v>
      </c>
      <c r="K182" s="102">
        <v>46017</v>
      </c>
      <c r="L182" s="103"/>
    </row>
    <row r="183" ht="20.05" customHeight="1">
      <c r="G183" t="s" s="99">
        <v>64</v>
      </c>
      <c r="H183" s="100">
        <v>2</v>
      </c>
      <c r="I183" s="101">
        <v>400</v>
      </c>
      <c r="J183" s="101" cm="1">
        <f t="array" ref="J183">I183*H183</f>
        <v>800</v>
      </c>
      <c r="K183" s="102">
        <v>46017</v>
      </c>
      <c r="L183" s="103"/>
    </row>
    <row r="184" ht="20.05" customHeight="1">
      <c r="G184" t="s" s="99">
        <v>116</v>
      </c>
      <c r="H184" s="100">
        <v>1</v>
      </c>
      <c r="I184" s="101">
        <v>300</v>
      </c>
      <c r="J184" s="101" cm="1">
        <f t="array" ref="J184">I184*H184</f>
        <v>300</v>
      </c>
      <c r="K184" s="102">
        <v>46017</v>
      </c>
      <c r="L184" s="103"/>
    </row>
    <row r="185" ht="20.05" customHeight="1">
      <c r="G185" t="s" s="99">
        <v>130</v>
      </c>
      <c r="H185" s="100">
        <v>1</v>
      </c>
      <c r="I185" s="101">
        <v>12475</v>
      </c>
      <c r="J185" s="101" cm="1">
        <f t="array" ref="J185">I185*H185</f>
        <v>12475</v>
      </c>
      <c r="K185" s="102">
        <v>46017</v>
      </c>
      <c r="L185" s="101" cm="1">
        <f t="array" ref="L185">SUM(J180:J199)</f>
        <v>240925</v>
      </c>
    </row>
    <row r="186" ht="20.05" customHeight="1">
      <c r="G186" t="s" s="99">
        <v>131</v>
      </c>
      <c r="H186" s="100">
        <v>1</v>
      </c>
      <c r="I186" s="101">
        <v>300</v>
      </c>
      <c r="J186" s="101" cm="1">
        <f t="array" ref="J186">I186*H186</f>
        <v>300</v>
      </c>
      <c r="K186" s="102">
        <v>46017</v>
      </c>
      <c r="L186" s="103"/>
    </row>
    <row r="187" ht="20.05" customHeight="1">
      <c r="G187" t="s" s="99">
        <v>132</v>
      </c>
      <c r="H187" s="100">
        <v>3</v>
      </c>
      <c r="I187" s="101">
        <v>14000</v>
      </c>
      <c r="J187" s="101" cm="1">
        <f t="array" ref="J187">I187*H187</f>
        <v>42000</v>
      </c>
      <c r="K187" s="102">
        <v>46017</v>
      </c>
      <c r="L187" s="101" cm="1">
        <f t="array" ref="L187">J254-L185</f>
        <v>-18625</v>
      </c>
    </row>
    <row r="188" ht="20.05" customHeight="1">
      <c r="G188" t="s" s="99">
        <v>133</v>
      </c>
      <c r="H188" s="100">
        <v>1</v>
      </c>
      <c r="I188" s="101">
        <v>94500</v>
      </c>
      <c r="J188" s="101" cm="1">
        <f t="array" ref="J188">I188*H188</f>
        <v>94500</v>
      </c>
      <c r="K188" s="102">
        <v>46017</v>
      </c>
      <c r="L188" s="103"/>
    </row>
    <row r="189" ht="20.05" customHeight="1">
      <c r="G189" t="s" s="99">
        <v>134</v>
      </c>
      <c r="H189" s="100">
        <v>3</v>
      </c>
      <c r="I189" s="101">
        <v>8000</v>
      </c>
      <c r="J189" s="101" cm="1">
        <f t="array" ref="J189">I189*H189</f>
        <v>24000</v>
      </c>
      <c r="K189" s="102">
        <v>46017</v>
      </c>
      <c r="L189" s="103"/>
    </row>
    <row r="190" ht="20.05" customHeight="1">
      <c r="G190" t="s" s="99">
        <v>135</v>
      </c>
      <c r="H190" s="100">
        <v>1</v>
      </c>
      <c r="I190" s="101">
        <v>8000</v>
      </c>
      <c r="J190" s="101" cm="1">
        <f t="array" ref="J190">I190*H190</f>
        <v>8000</v>
      </c>
      <c r="K190" s="102">
        <v>46017</v>
      </c>
      <c r="L190" s="103"/>
    </row>
    <row r="191" ht="20.05" customHeight="1">
      <c r="G191" t="s" s="99">
        <v>136</v>
      </c>
      <c r="H191" s="100">
        <v>25</v>
      </c>
      <c r="I191" s="101">
        <v>30</v>
      </c>
      <c r="J191" s="101" cm="1">
        <f t="array" ref="J191">I191*H191</f>
        <v>750</v>
      </c>
      <c r="K191" s="102">
        <v>46018</v>
      </c>
      <c r="L191" s="103"/>
    </row>
    <row r="192" ht="20.05" customHeight="1">
      <c r="G192" t="s" s="99">
        <v>137</v>
      </c>
      <c r="H192" s="100">
        <v>1</v>
      </c>
      <c r="I192" s="101">
        <v>1200</v>
      </c>
      <c r="J192" s="101" cm="1">
        <f t="array" ref="J192">I192*H192</f>
        <v>1200</v>
      </c>
      <c r="K192" s="102">
        <v>46018</v>
      </c>
      <c r="L192" s="103"/>
    </row>
    <row r="193" ht="20.05" customHeight="1">
      <c r="G193" t="s" s="99">
        <v>117</v>
      </c>
      <c r="H193" s="100">
        <v>25</v>
      </c>
      <c r="I193" s="104">
        <v>2.5</v>
      </c>
      <c r="J193" s="101" cm="1">
        <f t="array" ref="J193">I193*H193*16</f>
        <v>1000</v>
      </c>
      <c r="K193" s="102">
        <v>46018</v>
      </c>
      <c r="L193" s="103"/>
    </row>
    <row r="194" ht="20.05" customHeight="1">
      <c r="G194" t="s" s="99">
        <v>114</v>
      </c>
      <c r="H194" s="100">
        <v>30</v>
      </c>
      <c r="I194" s="101">
        <v>5</v>
      </c>
      <c r="J194" s="101" cm="1">
        <f t="array" ref="J194">I194*H194*16</f>
        <v>2400</v>
      </c>
      <c r="K194" s="102">
        <v>46018</v>
      </c>
      <c r="L194" s="103"/>
    </row>
    <row r="195" ht="20.05" customHeight="1">
      <c r="G195" t="s" s="99">
        <v>116</v>
      </c>
      <c r="H195" s="100">
        <v>1</v>
      </c>
      <c r="I195" s="101">
        <v>600</v>
      </c>
      <c r="J195" s="101" cm="1">
        <f t="array" ref="J195">I195*H195</f>
        <v>600</v>
      </c>
      <c r="K195" s="102">
        <v>46018</v>
      </c>
      <c r="L195" s="103"/>
    </row>
    <row r="196" ht="20.05" customHeight="1">
      <c r="G196" t="s" s="99">
        <v>110</v>
      </c>
      <c r="H196" s="100">
        <v>18</v>
      </c>
      <c r="I196" s="101">
        <v>375</v>
      </c>
      <c r="J196" s="101" cm="1">
        <f t="array" ref="J196">I196*H196</f>
        <v>6750</v>
      </c>
      <c r="K196" s="102">
        <v>46018</v>
      </c>
      <c r="L196" s="103"/>
    </row>
    <row r="197" ht="20.05" customHeight="1">
      <c r="G197" t="s" s="99">
        <v>109</v>
      </c>
      <c r="H197" s="100">
        <v>2</v>
      </c>
      <c r="I197" s="101">
        <v>100</v>
      </c>
      <c r="J197" s="101" cm="1">
        <f t="array" ref="J197">I197*H197</f>
        <v>200</v>
      </c>
      <c r="K197" s="102">
        <v>46018</v>
      </c>
      <c r="L197" s="103"/>
    </row>
    <row r="198" ht="20.05" customHeight="1">
      <c r="G198" t="s" s="99">
        <v>138</v>
      </c>
      <c r="H198" s="100">
        <v>1</v>
      </c>
      <c r="I198" s="101">
        <v>350</v>
      </c>
      <c r="J198" s="101" cm="1">
        <f t="array" ref="J198">I198*H198</f>
        <v>350</v>
      </c>
      <c r="K198" s="102">
        <v>46018</v>
      </c>
      <c r="L198" s="103"/>
    </row>
    <row r="199" ht="20.05" customHeight="1">
      <c r="G199" t="s" s="99">
        <v>139</v>
      </c>
      <c r="H199" s="100">
        <v>1</v>
      </c>
      <c r="I199" s="101">
        <v>9000</v>
      </c>
      <c r="J199" s="101" cm="1">
        <f t="array" ref="J199">I199*H199</f>
        <v>9000</v>
      </c>
      <c r="K199" s="102">
        <v>46018</v>
      </c>
      <c r="L199" s="103"/>
    </row>
    <row r="200" ht="20.05" customHeight="1">
      <c r="G200" t="s" s="93">
        <v>131</v>
      </c>
      <c r="H200" s="94">
        <v>2</v>
      </c>
      <c r="I200" s="95">
        <v>500</v>
      </c>
      <c r="J200" s="95" cm="1">
        <f t="array" ref="J200">I200*H200</f>
        <v>1000</v>
      </c>
      <c r="K200" s="96">
        <v>46019</v>
      </c>
      <c r="L200" s="97"/>
    </row>
    <row r="201" ht="20.05" customHeight="1">
      <c r="G201" t="s" s="93">
        <v>140</v>
      </c>
      <c r="H201" s="94">
        <v>1</v>
      </c>
      <c r="I201" s="95">
        <v>3100</v>
      </c>
      <c r="J201" s="95" cm="1">
        <f t="array" ref="J201">I201*H201</f>
        <v>3100</v>
      </c>
      <c r="K201" s="96">
        <v>46020</v>
      </c>
      <c r="L201" s="97"/>
    </row>
    <row r="202" ht="20.05" customHeight="1">
      <c r="G202" t="s" s="93">
        <v>131</v>
      </c>
      <c r="H202" s="94">
        <v>1</v>
      </c>
      <c r="I202" s="95">
        <v>300</v>
      </c>
      <c r="J202" s="95" cm="1">
        <f t="array" ref="J202">I202*H202</f>
        <v>300</v>
      </c>
      <c r="K202" s="96">
        <v>46020</v>
      </c>
      <c r="L202" s="97"/>
    </row>
    <row r="203" ht="20.05" customHeight="1">
      <c r="G203" t="s" s="93">
        <v>12</v>
      </c>
      <c r="H203" s="94">
        <v>1</v>
      </c>
      <c r="I203" s="95">
        <v>500</v>
      </c>
      <c r="J203" s="95" cm="1">
        <f t="array" ref="J203">I203*H203</f>
        <v>500</v>
      </c>
      <c r="K203" s="96">
        <v>46020</v>
      </c>
      <c r="L203" s="97"/>
    </row>
    <row r="204" ht="20.05" customHeight="1">
      <c r="G204" t="s" s="93">
        <v>141</v>
      </c>
      <c r="H204" s="94">
        <v>1</v>
      </c>
      <c r="I204" s="95">
        <v>1000</v>
      </c>
      <c r="J204" s="95" cm="1">
        <f t="array" ref="J204">I204*H204</f>
        <v>1000</v>
      </c>
      <c r="K204" s="96">
        <v>46020</v>
      </c>
      <c r="L204" s="97"/>
    </row>
    <row r="205" ht="20.05" customHeight="1">
      <c r="G205" t="s" s="93">
        <v>125</v>
      </c>
      <c r="H205" s="94">
        <v>1</v>
      </c>
      <c r="I205" s="95">
        <v>11000</v>
      </c>
      <c r="J205" s="95" cm="1">
        <f t="array" ref="J205">I205*H205</f>
        <v>11000</v>
      </c>
      <c r="K205" s="96">
        <v>46020</v>
      </c>
      <c r="L205" s="97"/>
    </row>
    <row r="206" ht="20.05" customHeight="1">
      <c r="G206" t="s" s="93">
        <v>142</v>
      </c>
      <c r="H206" s="94">
        <v>1</v>
      </c>
      <c r="I206" s="95">
        <v>16000</v>
      </c>
      <c r="J206" s="95" cm="1">
        <f t="array" ref="J206">I206*H206</f>
        <v>16000</v>
      </c>
      <c r="K206" s="96">
        <v>46020</v>
      </c>
      <c r="L206" s="97"/>
    </row>
    <row r="207" ht="20.05" customHeight="1">
      <c r="G207" t="s" s="93">
        <v>143</v>
      </c>
      <c r="H207" s="94">
        <v>1</v>
      </c>
      <c r="I207" s="95">
        <v>1000</v>
      </c>
      <c r="J207" s="95" cm="1">
        <f t="array" ref="J207">I207*H207</f>
        <v>1000</v>
      </c>
      <c r="K207" s="96">
        <v>46020</v>
      </c>
      <c r="L207" s="97"/>
    </row>
    <row r="208" ht="20.05" customHeight="1">
      <c r="G208" t="s" s="93">
        <v>144</v>
      </c>
      <c r="H208" s="94">
        <v>364</v>
      </c>
      <c r="I208" s="95">
        <v>480</v>
      </c>
      <c r="J208" s="95" cm="1">
        <f t="array" ref="J208">I208*H208</f>
        <v>174720</v>
      </c>
      <c r="K208" s="96">
        <v>46020</v>
      </c>
      <c r="L208" s="97"/>
    </row>
    <row r="209" ht="20.05" customHeight="1">
      <c r="G209" t="s" s="93">
        <v>145</v>
      </c>
      <c r="H209" s="94">
        <v>364</v>
      </c>
      <c r="I209" s="95">
        <v>20</v>
      </c>
      <c r="J209" s="95" cm="1">
        <f t="array" ref="J209">I209*H209</f>
        <v>7280</v>
      </c>
      <c r="K209" s="96">
        <v>46020</v>
      </c>
      <c r="L209" s="97"/>
    </row>
    <row r="210" ht="20.05" customHeight="1">
      <c r="G210" t="s" s="93">
        <v>109</v>
      </c>
      <c r="H210" s="94">
        <v>10</v>
      </c>
      <c r="I210" s="95">
        <v>100</v>
      </c>
      <c r="J210" s="95" cm="1">
        <f t="array" ref="J210">I210*H210</f>
        <v>1000</v>
      </c>
      <c r="K210" s="96">
        <v>46021</v>
      </c>
      <c r="L210" s="97"/>
    </row>
    <row r="211" ht="20.05" customHeight="1">
      <c r="G211" t="s" s="93">
        <v>106</v>
      </c>
      <c r="H211" s="94">
        <v>1</v>
      </c>
      <c r="I211" s="95">
        <v>500</v>
      </c>
      <c r="J211" s="95" cm="1">
        <f t="array" ref="J211">I211*H211</f>
        <v>500</v>
      </c>
      <c r="K211" s="96">
        <v>46021</v>
      </c>
      <c r="L211" s="97"/>
    </row>
    <row r="212" ht="20.05" customHeight="1">
      <c r="G212" t="s" s="93">
        <v>146</v>
      </c>
      <c r="H212" s="94">
        <v>3</v>
      </c>
      <c r="I212" s="95">
        <v>400</v>
      </c>
      <c r="J212" s="95" cm="1">
        <f t="array" ref="J212">I212</f>
        <v>400</v>
      </c>
      <c r="K212" s="96">
        <v>46021</v>
      </c>
      <c r="L212" s="97"/>
    </row>
    <row r="213" ht="20.05" customHeight="1">
      <c r="G213" t="s" s="93">
        <v>147</v>
      </c>
      <c r="H213" s="94">
        <v>1</v>
      </c>
      <c r="I213" s="95">
        <v>1500</v>
      </c>
      <c r="J213" s="95" cm="1">
        <f t="array" ref="J213">I213*H213</f>
        <v>1500</v>
      </c>
      <c r="K213" s="96">
        <v>46021</v>
      </c>
      <c r="L213" s="97"/>
    </row>
    <row r="214" ht="20.05" customHeight="1">
      <c r="G214" t="s" s="93">
        <v>148</v>
      </c>
      <c r="H214" s="94">
        <v>1</v>
      </c>
      <c r="I214" s="95">
        <v>8000</v>
      </c>
      <c r="J214" s="95" cm="1">
        <f t="array" ref="J214">I214*H214</f>
        <v>8000</v>
      </c>
      <c r="K214" s="96">
        <v>46021</v>
      </c>
      <c r="L214" s="97"/>
    </row>
    <row r="215" ht="20.05" customHeight="1">
      <c r="G215" t="s" s="93">
        <v>149</v>
      </c>
      <c r="H215" s="94">
        <v>1</v>
      </c>
      <c r="I215" s="95">
        <v>6500</v>
      </c>
      <c r="J215" s="95" cm="1">
        <f t="array" ref="J215">I215*H215</f>
        <v>6500</v>
      </c>
      <c r="K215" s="96">
        <v>46021</v>
      </c>
      <c r="L215" s="97"/>
    </row>
    <row r="216" ht="20.05" customHeight="1">
      <c r="G216" t="s" s="93">
        <v>150</v>
      </c>
      <c r="H216" s="94">
        <v>1</v>
      </c>
      <c r="I216" s="95">
        <v>1000</v>
      </c>
      <c r="J216" s="95" cm="1">
        <f t="array" ref="J216">I216*H216</f>
        <v>1000</v>
      </c>
      <c r="K216" s="96">
        <v>46021</v>
      </c>
      <c r="L216" s="97"/>
    </row>
    <row r="217" ht="20.05" customHeight="1">
      <c r="G217" t="s" s="93">
        <v>139</v>
      </c>
      <c r="H217" s="94">
        <v>1</v>
      </c>
      <c r="I217" s="95">
        <v>300</v>
      </c>
      <c r="J217" s="95" cm="1">
        <f t="array" ref="J217">I217*H217</f>
        <v>300</v>
      </c>
      <c r="K217" s="96">
        <v>46021</v>
      </c>
      <c r="L217" s="97"/>
    </row>
    <row r="218" ht="20.05" customHeight="1">
      <c r="G218" t="s" s="93">
        <v>151</v>
      </c>
      <c r="H218" s="94">
        <v>1</v>
      </c>
      <c r="I218" s="95">
        <v>40000</v>
      </c>
      <c r="J218" s="95" cm="1">
        <f t="array" ref="J218">I218*H218</f>
        <v>40000</v>
      </c>
      <c r="K218" s="96">
        <v>46021</v>
      </c>
      <c r="L218" s="97"/>
    </row>
    <row r="219" ht="20.05" customHeight="1">
      <c r="G219" t="s" s="93">
        <v>152</v>
      </c>
      <c r="H219" s="94">
        <v>1</v>
      </c>
      <c r="I219" s="95">
        <v>2000</v>
      </c>
      <c r="J219" s="95" cm="1">
        <f t="array" ref="J219">I219*H219</f>
        <v>2000</v>
      </c>
      <c r="K219" s="96">
        <v>46021</v>
      </c>
      <c r="L219" s="97"/>
    </row>
    <row r="220" ht="20.05" customHeight="1">
      <c r="G220" t="s" s="93">
        <v>153</v>
      </c>
      <c r="H220" s="94">
        <v>1</v>
      </c>
      <c r="I220" s="95">
        <v>5000</v>
      </c>
      <c r="J220" s="95" cm="1">
        <f t="array" ref="J220">I220*H220</f>
        <v>5000</v>
      </c>
      <c r="K220" s="105">
        <v>46053</v>
      </c>
      <c r="L220" s="97"/>
    </row>
    <row r="221" ht="20.05" customHeight="1">
      <c r="G221" t="s" s="93">
        <v>120</v>
      </c>
      <c r="H221" s="94">
        <v>1</v>
      </c>
      <c r="I221" s="95">
        <v>500</v>
      </c>
      <c r="J221" s="95" cm="1">
        <f t="array" ref="J221">I221*H221</f>
        <v>500</v>
      </c>
      <c r="K221" s="97"/>
      <c r="L221" s="97"/>
    </row>
    <row r="222" ht="20.05" customHeight="1">
      <c r="G222" t="s" s="93">
        <v>120</v>
      </c>
      <c r="H222" s="94">
        <v>1</v>
      </c>
      <c r="I222" s="95">
        <v>500</v>
      </c>
      <c r="J222" s="95" cm="1">
        <f t="array" ref="J222">I222*H222</f>
        <v>500</v>
      </c>
      <c r="K222" s="97"/>
      <c r="L222" s="97"/>
    </row>
    <row r="223" ht="20.05" customHeight="1">
      <c r="G223" t="s" s="93">
        <v>154</v>
      </c>
      <c r="H223" s="94">
        <v>1</v>
      </c>
      <c r="I223" s="95">
        <v>5500</v>
      </c>
      <c r="J223" s="95" cm="1">
        <f t="array" ref="J223">I223*H223</f>
        <v>5500</v>
      </c>
      <c r="K223" s="105">
        <v>46029</v>
      </c>
      <c r="L223" s="97"/>
    </row>
    <row r="224" ht="20.05" customHeight="1">
      <c r="G224" t="s" s="93">
        <v>155</v>
      </c>
      <c r="H224" s="94">
        <v>1</v>
      </c>
      <c r="I224" s="95">
        <v>2000</v>
      </c>
      <c r="J224" s="95" cm="1">
        <f t="array" ref="J224">I224*H224</f>
        <v>2000</v>
      </c>
      <c r="K224" s="105">
        <v>46029</v>
      </c>
      <c r="L224" s="97"/>
    </row>
    <row r="225" ht="20.05" customHeight="1">
      <c r="G225" t="s" s="93">
        <v>156</v>
      </c>
      <c r="H225" s="94">
        <v>1</v>
      </c>
      <c r="I225" s="95">
        <v>3500</v>
      </c>
      <c r="J225" s="95" cm="1">
        <f t="array" ref="J225">I225*H225</f>
        <v>3500</v>
      </c>
      <c r="K225" s="105">
        <v>46037</v>
      </c>
      <c r="L225" s="97"/>
    </row>
    <row r="226" ht="20.05" customHeight="1">
      <c r="G226" t="s" s="93">
        <v>157</v>
      </c>
      <c r="H226" s="94">
        <v>1</v>
      </c>
      <c r="I226" s="95">
        <v>10000</v>
      </c>
      <c r="J226" s="95" cm="1">
        <f t="array" ref="J226">I226*H226</f>
        <v>10000</v>
      </c>
      <c r="K226" s="105">
        <v>46037</v>
      </c>
      <c r="L226" s="97"/>
    </row>
    <row r="227" ht="20.05" customHeight="1">
      <c r="G227" t="s" s="93">
        <v>158</v>
      </c>
      <c r="H227" s="94">
        <v>60</v>
      </c>
      <c r="I227" s="95">
        <v>20</v>
      </c>
      <c r="J227" s="95" cm="1">
        <f t="array" ref="J227">H227*I227*3</f>
        <v>3600</v>
      </c>
      <c r="K227" s="105">
        <v>46040</v>
      </c>
      <c r="L227" s="97"/>
    </row>
    <row r="228" ht="20.05" customHeight="1">
      <c r="G228" t="s" s="93">
        <v>159</v>
      </c>
      <c r="H228" s="94">
        <v>375</v>
      </c>
      <c r="I228" s="95">
        <v>5</v>
      </c>
      <c r="J228" s="95" cm="1">
        <f t="array" ref="J228">H228*I228*3</f>
        <v>5625</v>
      </c>
      <c r="K228" s="105">
        <v>46040</v>
      </c>
      <c r="L228" s="97"/>
    </row>
    <row r="229" ht="20.05" customHeight="1">
      <c r="G229" t="s" s="93">
        <v>160</v>
      </c>
      <c r="H229" s="94">
        <v>475</v>
      </c>
      <c r="I229" s="98">
        <v>2.5</v>
      </c>
      <c r="J229" s="95" cm="1">
        <f t="array" ref="J229">I229*H229*3+2.5</f>
        <v>3565</v>
      </c>
      <c r="K229" s="105">
        <v>46040</v>
      </c>
      <c r="L229" s="97"/>
    </row>
    <row r="230" ht="20.05" customHeight="1">
      <c r="G230" t="s" s="93">
        <v>112</v>
      </c>
      <c r="H230" s="94">
        <v>1</v>
      </c>
      <c r="I230" s="95">
        <v>1500</v>
      </c>
      <c r="J230" s="95" cm="1">
        <f t="array" ref="J230">I230*H230</f>
        <v>1500</v>
      </c>
      <c r="K230" s="105">
        <v>46042</v>
      </c>
      <c r="L230" s="97"/>
    </row>
    <row r="231" ht="20.05" customHeight="1">
      <c r="G231" t="s" s="93">
        <v>161</v>
      </c>
      <c r="H231" s="94">
        <v>1</v>
      </c>
      <c r="I231" s="95">
        <v>12000</v>
      </c>
      <c r="J231" s="95" cm="1">
        <f t="array" ref="J231">I231*H231</f>
        <v>12000</v>
      </c>
      <c r="K231" s="105">
        <v>46044</v>
      </c>
      <c r="L231" s="97"/>
    </row>
    <row r="232" ht="20.05" customHeight="1">
      <c r="G232" t="s" s="93">
        <v>162</v>
      </c>
      <c r="H232" s="94">
        <v>1</v>
      </c>
      <c r="I232" s="95">
        <v>481</v>
      </c>
      <c r="J232" s="95" cm="1">
        <f t="array" ref="J232">I232*H232</f>
        <v>481</v>
      </c>
      <c r="K232" s="105">
        <v>46044</v>
      </c>
      <c r="L232" s="97"/>
    </row>
    <row r="233" ht="20.05" customHeight="1">
      <c r="G233" t="s" s="93">
        <v>163</v>
      </c>
      <c r="H233" s="94">
        <v>36</v>
      </c>
      <c r="I233" s="95">
        <v>480</v>
      </c>
      <c r="J233" s="95" cm="1">
        <f t="array" ref="J233">I233*H233</f>
        <v>17280</v>
      </c>
      <c r="K233" s="105">
        <v>46044</v>
      </c>
      <c r="L233" s="97"/>
    </row>
    <row r="234" ht="20.05" customHeight="1">
      <c r="G234" t="s" s="93">
        <v>164</v>
      </c>
      <c r="H234" s="94">
        <v>36</v>
      </c>
      <c r="I234" s="95">
        <v>20</v>
      </c>
      <c r="J234" s="95" cm="1">
        <f t="array" ref="J234">I234*H234</f>
        <v>720</v>
      </c>
      <c r="K234" s="105">
        <v>46044</v>
      </c>
      <c r="L234" s="97"/>
    </row>
    <row r="235" ht="20.05" customHeight="1">
      <c r="G235" t="s" s="93">
        <v>165</v>
      </c>
      <c r="H235" s="94">
        <v>1</v>
      </c>
      <c r="I235" s="95">
        <v>2000</v>
      </c>
      <c r="J235" s="95" cm="1">
        <f t="array" ref="J235">I235*H235</f>
        <v>2000</v>
      </c>
      <c r="K235" s="105">
        <v>46044</v>
      </c>
      <c r="L235" s="97"/>
    </row>
    <row r="236" ht="20.05" customHeight="1">
      <c r="G236" t="s" s="93">
        <v>166</v>
      </c>
      <c r="H236" s="94">
        <v>1</v>
      </c>
      <c r="I236" s="95">
        <v>8000</v>
      </c>
      <c r="J236" s="95" cm="1">
        <f t="array" ref="J236">I236*H236</f>
        <v>8000</v>
      </c>
      <c r="K236" s="105">
        <v>46075</v>
      </c>
      <c r="L236" s="97"/>
    </row>
    <row r="237" ht="20.05" customHeight="1">
      <c r="G237" s="106"/>
      <c r="H237" s="107"/>
      <c r="I237" s="95"/>
      <c r="J237" s="95"/>
      <c r="K237" s="97"/>
      <c r="L237" s="97"/>
    </row>
    <row r="238" ht="20.05" customHeight="1">
      <c r="G238" s="106"/>
      <c r="H238" s="107"/>
      <c r="I238" s="95"/>
      <c r="J238" s="95"/>
      <c r="K238" s="97"/>
      <c r="L238" s="97"/>
    </row>
    <row r="239" ht="24.9" customHeight="1">
      <c r="G239" t="s" s="108">
        <v>167</v>
      </c>
      <c r="H239" s="109"/>
      <c r="I239" s="110"/>
      <c r="J239" s="111" cm="1">
        <f t="array" ref="J239">SUM(J147:J232)</f>
        <v>1017906</v>
      </c>
      <c r="K239" s="110"/>
      <c r="L239" s="112"/>
    </row>
    <row r="240" ht="23" customHeight="1">
      <c r="G240" s="113"/>
      <c r="H240" s="107"/>
      <c r="I240" s="97"/>
      <c r="J240" s="114"/>
      <c r="K240" s="97"/>
      <c r="L240" s="97"/>
    </row>
    <row r="241" ht="23" customHeight="1">
      <c r="G241" s="113"/>
      <c r="H241" s="107"/>
      <c r="I241" s="97"/>
      <c r="J241" s="114"/>
      <c r="K241" s="97"/>
      <c r="L241" s="97"/>
    </row>
    <row r="242" ht="23" customHeight="1">
      <c r="G242" s="113"/>
      <c r="H242" s="107"/>
      <c r="I242" s="97"/>
      <c r="J242" s="114"/>
      <c r="K242" s="97"/>
      <c r="L242" s="97"/>
    </row>
    <row r="243" ht="23" customHeight="1">
      <c r="G243" s="113"/>
      <c r="H243" s="107"/>
      <c r="I243" s="97"/>
      <c r="J243" s="114"/>
      <c r="K243" s="97"/>
      <c r="L243" s="97"/>
    </row>
    <row r="244" ht="23" customHeight="1">
      <c r="G244" s="113"/>
      <c r="H244" s="107"/>
      <c r="I244" s="97"/>
      <c r="J244" s="114"/>
      <c r="K244" s="97"/>
      <c r="L244" s="97"/>
    </row>
    <row r="245" ht="23" customHeight="1">
      <c r="G245" s="113"/>
      <c r="H245" s="107"/>
      <c r="I245" s="97"/>
      <c r="J245" s="114"/>
      <c r="K245" s="97"/>
      <c r="L245" s="97"/>
    </row>
    <row r="246" ht="23" customHeight="1">
      <c r="G246" s="113"/>
      <c r="H246" s="107"/>
      <c r="I246" s="97"/>
      <c r="J246" s="114"/>
      <c r="K246" s="97"/>
      <c r="L246" s="97"/>
    </row>
    <row r="247" ht="23.8" customHeight="1">
      <c r="G247" s="115"/>
      <c r="H247" s="116"/>
      <c r="I247" s="117"/>
      <c r="J247" s="118"/>
      <c r="K247" s="117"/>
      <c r="L247" s="117"/>
    </row>
    <row r="248" ht="18.6" customHeight="1">
      <c r="G248" t="s" s="119">
        <v>168</v>
      </c>
      <c r="H248" s="120"/>
      <c r="I248" s="121">
        <v>7500</v>
      </c>
      <c r="J248" s="122" cm="1">
        <f t="array" ref="J248">I248*74.25</f>
        <v>556875</v>
      </c>
      <c r="K248" t="s" s="59">
        <v>169</v>
      </c>
      <c r="L248" s="123"/>
    </row>
    <row r="249" ht="15.7" customHeight="1">
      <c r="G249" s="124"/>
      <c r="H249" s="120"/>
      <c r="I249" s="56"/>
      <c r="J249" s="56"/>
      <c r="K249" s="62"/>
      <c r="L249" s="125"/>
    </row>
    <row r="250" ht="18.6" customHeight="1">
      <c r="G250" t="s" s="119">
        <v>170</v>
      </c>
      <c r="H250" s="120"/>
      <c r="I250" s="126"/>
      <c r="J250" s="122">
        <v>33050</v>
      </c>
      <c r="K250" s="127"/>
      <c r="L250" s="123"/>
    </row>
    <row r="251" ht="15.7" customHeight="1">
      <c r="G251" s="124"/>
      <c r="H251" s="120"/>
      <c r="I251" s="56"/>
      <c r="J251" s="128"/>
      <c r="K251" s="62"/>
      <c r="L251" s="125"/>
    </row>
    <row r="252" ht="18.6" customHeight="1">
      <c r="G252" t="s" s="119">
        <v>171</v>
      </c>
      <c r="H252" s="120"/>
      <c r="I252" s="126"/>
      <c r="J252" s="122">
        <v>11681</v>
      </c>
      <c r="K252" s="127"/>
      <c r="L252" s="123"/>
    </row>
    <row r="253" ht="15.7" customHeight="1">
      <c r="G253" s="124"/>
      <c r="H253" s="120"/>
      <c r="I253" s="56"/>
      <c r="J253" s="56"/>
      <c r="K253" s="62"/>
      <c r="L253" s="125"/>
    </row>
    <row r="254" ht="18.6" customHeight="1">
      <c r="G254" t="s" s="119">
        <v>172</v>
      </c>
      <c r="H254" s="120"/>
      <c r="I254" s="63">
        <v>3000</v>
      </c>
      <c r="J254" s="129" cm="1">
        <f t="array" ref="J254">I254*74.1</f>
        <v>222300</v>
      </c>
      <c r="K254" t="s" s="59">
        <v>173</v>
      </c>
      <c r="L254" s="123"/>
    </row>
    <row r="255" ht="15.7" customHeight="1">
      <c r="G255" s="124"/>
      <c r="H255" s="120"/>
      <c r="I255" s="56"/>
      <c r="J255" s="56"/>
      <c r="K255" s="62"/>
      <c r="L255" s="125"/>
    </row>
    <row r="256" ht="18.6" customHeight="1">
      <c r="G256" t="s" s="119">
        <v>174</v>
      </c>
      <c r="H256" s="120"/>
      <c r="I256" s="130">
        <v>3000</v>
      </c>
      <c r="J256" s="129" cm="1">
        <f t="array" ref="J256">I256*74</f>
        <v>222000</v>
      </c>
      <c r="K256" s="62"/>
      <c r="L256" s="125"/>
    </row>
    <row r="257" ht="14.85" customHeight="1">
      <c r="G257" s="131"/>
      <c r="H257" s="132"/>
      <c r="I257" s="69"/>
      <c r="J257" s="69"/>
      <c r="K257" s="70"/>
      <c r="L257" s="133"/>
    </row>
    <row r="258" ht="16.95" customHeight="1">
      <c r="G258" s="134"/>
      <c r="H258" s="135"/>
      <c r="I258" s="136"/>
      <c r="J258" s="27"/>
      <c r="K258" s="137"/>
      <c r="L258" s="138"/>
    </row>
    <row r="259" ht="14.85" customHeight="1">
      <c r="G259" s="139"/>
      <c r="H259" s="140"/>
      <c r="I259" s="72"/>
      <c r="J259" s="72"/>
      <c r="K259" s="73"/>
      <c r="L259" s="141"/>
    </row>
    <row r="260" ht="35.6" customHeight="1">
      <c r="G260" t="s" s="142">
        <v>175</v>
      </c>
      <c r="H260" s="120"/>
      <c r="I260" s="143" cm="1">
        <f t="array" ref="I260">SUM(I248,I254,I256)</f>
        <v>13500</v>
      </c>
      <c r="J260" s="144" cm="1">
        <f t="array" ref="J260">J248+J250+J252+J254+J256-SUM(J233:J236)</f>
        <v>1017906</v>
      </c>
      <c r="K260" s="62"/>
      <c r="L260" s="125"/>
    </row>
    <row r="261" ht="14.85" customHeight="1">
      <c r="G261" s="131"/>
      <c r="H261" s="132"/>
      <c r="I261" s="69"/>
      <c r="J261" s="69"/>
      <c r="K261" s="70"/>
      <c r="L261" s="133"/>
    </row>
    <row r="262" ht="14.85" customHeight="1">
      <c r="G262" s="139"/>
      <c r="H262" s="140"/>
      <c r="I262" s="72"/>
      <c r="J262" s="72"/>
      <c r="K262" s="73"/>
      <c r="L262" s="141"/>
    </row>
    <row r="263" ht="19.6" customHeight="1">
      <c r="G263" t="s" s="142">
        <v>101</v>
      </c>
      <c r="H263" s="120"/>
      <c r="I263" s="56"/>
      <c r="J263" s="74" cm="1">
        <f t="array" ref="J263">J239</f>
        <v>1017906</v>
      </c>
      <c r="K263" s="62"/>
      <c r="L263" s="125"/>
    </row>
    <row r="264" ht="15.7" customHeight="1">
      <c r="G264" s="124"/>
      <c r="H264" s="120"/>
      <c r="I264" s="56"/>
      <c r="J264" s="56"/>
      <c r="K264" s="62"/>
      <c r="L264" s="125"/>
    </row>
    <row r="265" ht="19.6" customHeight="1">
      <c r="G265" t="s" s="142">
        <v>102</v>
      </c>
      <c r="H265" s="120"/>
      <c r="I265" s="75"/>
      <c r="J265" s="145" cm="1">
        <f t="array" ref="J265">J260-J263</f>
        <v>0</v>
      </c>
      <c r="K265" s="62"/>
      <c r="L265" s="125"/>
    </row>
    <row r="266" ht="23.8" customHeight="1">
      <c r="G266" s="146"/>
      <c r="H266" s="147"/>
      <c r="I266" s="148"/>
      <c r="J266" s="149"/>
      <c r="K266" s="148"/>
      <c r="L266" s="148"/>
    </row>
    <row r="267" ht="23" customHeight="1">
      <c r="G267" s="113"/>
      <c r="H267" s="107"/>
      <c r="I267" s="97"/>
      <c r="J267" s="114"/>
      <c r="K267" s="97"/>
      <c r="L267" s="97"/>
    </row>
    <row r="268" ht="23" customHeight="1">
      <c r="G268" s="113"/>
      <c r="H268" s="107"/>
      <c r="I268" s="97"/>
      <c r="J268" s="114"/>
      <c r="K268" s="97"/>
      <c r="L268" s="97"/>
    </row>
    <row r="269" ht="23" customHeight="1">
      <c r="G269" s="113"/>
      <c r="H269" s="107"/>
      <c r="I269" s="97"/>
      <c r="J269" s="114"/>
      <c r="K269" s="97"/>
      <c r="L269" s="97"/>
    </row>
    <row r="270" ht="23" customHeight="1">
      <c r="G270" s="113"/>
      <c r="H270" s="107"/>
      <c r="I270" s="97"/>
      <c r="J270" s="114"/>
      <c r="K270" s="97"/>
      <c r="L270" s="97"/>
    </row>
    <row r="271" ht="23" customHeight="1">
      <c r="G271" s="113"/>
      <c r="H271" s="107"/>
      <c r="I271" s="97"/>
      <c r="J271" s="114"/>
      <c r="K271" s="97"/>
      <c r="L271" s="97"/>
    </row>
    <row r="272" ht="23" customHeight="1">
      <c r="G272" s="113"/>
      <c r="H272" s="107"/>
      <c r="I272" s="97"/>
      <c r="J272" s="114"/>
      <c r="K272" s="97"/>
      <c r="L272" s="97"/>
    </row>
    <row r="273" ht="23" customHeight="1">
      <c r="G273" s="113"/>
      <c r="H273" s="107"/>
      <c r="I273" s="97"/>
      <c r="J273" s="114"/>
      <c r="K273" s="97"/>
      <c r="L273" s="97"/>
    </row>
  </sheetData>
  <mergeCells count="2">
    <mergeCell ref="A1:F1"/>
    <mergeCell ref="G145:L14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78"/>
  <sheetViews>
    <sheetView workbookViewId="0" showGridLines="0" defaultGridColor="1"/>
  </sheetViews>
  <sheetFormatPr defaultColWidth="13.3333" defaultRowHeight="19.9" customHeight="1" outlineLevelRow="0" outlineLevelCol="0"/>
  <cols>
    <col min="1" max="3" width="13.3516" style="150" customWidth="1"/>
    <col min="4" max="16384" width="13.3516" style="150" customWidth="1"/>
  </cols>
  <sheetData>
    <row r="1" ht="30.55" customHeight="1">
      <c r="A1" t="s" s="2">
        <v>176</v>
      </c>
      <c r="B1" s="2"/>
      <c r="C1" s="2"/>
    </row>
    <row r="2" ht="32.25" customHeight="1"/>
    <row r="3" ht="32.25" customHeight="1">
      <c r="A3" t="s" s="151">
        <v>1</v>
      </c>
      <c r="B3" t="s" s="152">
        <v>177</v>
      </c>
      <c r="C3" t="s" s="153">
        <v>178</v>
      </c>
    </row>
    <row r="4" ht="44.25" customHeight="1">
      <c r="A4" t="s" s="154">
        <v>146</v>
      </c>
      <c r="B4" s="155">
        <v>3</v>
      </c>
      <c r="C4" s="156">
        <v>400</v>
      </c>
    </row>
    <row r="5" ht="20.05" customHeight="1">
      <c r="A5" t="s" s="157">
        <v>105</v>
      </c>
      <c r="B5" s="158">
        <v>147</v>
      </c>
      <c r="C5" s="159">
        <v>14700</v>
      </c>
    </row>
    <row r="6" ht="32.05" customHeight="1">
      <c r="A6" t="s" s="157">
        <v>106</v>
      </c>
      <c r="B6" s="158">
        <v>2</v>
      </c>
      <c r="C6" s="159">
        <v>1500</v>
      </c>
    </row>
    <row r="7" ht="20.05" customHeight="1">
      <c r="A7" t="s" s="157">
        <v>110</v>
      </c>
      <c r="B7" s="158">
        <v>20</v>
      </c>
      <c r="C7" s="159">
        <v>7450</v>
      </c>
    </row>
    <row r="8" ht="20.05" customHeight="1">
      <c r="A8" t="s" s="157">
        <v>127</v>
      </c>
      <c r="B8" s="158">
        <v>1</v>
      </c>
      <c r="C8" s="159">
        <v>500</v>
      </c>
    </row>
    <row r="9" ht="20.05" customHeight="1">
      <c r="A9" t="s" s="157">
        <v>114</v>
      </c>
      <c r="B9" s="158">
        <v>380</v>
      </c>
      <c r="C9" s="159">
        <v>54900</v>
      </c>
    </row>
    <row r="10" ht="44.05" customHeight="1">
      <c r="A10" t="s" s="157">
        <v>159</v>
      </c>
      <c r="B10" s="158">
        <v>375</v>
      </c>
      <c r="C10" s="159">
        <v>5625</v>
      </c>
    </row>
    <row r="11" ht="80.05" customHeight="1">
      <c r="A11" t="s" s="157">
        <v>163</v>
      </c>
      <c r="B11" s="158">
        <v>36</v>
      </c>
      <c r="C11" s="159">
        <v>17280</v>
      </c>
    </row>
    <row r="12" ht="68.05" customHeight="1">
      <c r="A12" t="s" s="157">
        <v>164</v>
      </c>
      <c r="B12" s="158">
        <v>36</v>
      </c>
      <c r="C12" s="159">
        <v>720</v>
      </c>
    </row>
    <row r="13" ht="20.05" customHeight="1">
      <c r="A13" t="s" s="157">
        <v>117</v>
      </c>
      <c r="B13" s="158">
        <v>475</v>
      </c>
      <c r="C13" s="159">
        <v>28400</v>
      </c>
    </row>
    <row r="14" ht="44.05" customHeight="1">
      <c r="A14" t="s" s="157">
        <v>160</v>
      </c>
      <c r="B14" s="158">
        <v>475</v>
      </c>
      <c r="C14" s="159">
        <v>3565</v>
      </c>
    </row>
    <row r="15" ht="32.05" customHeight="1">
      <c r="A15" t="s" s="157">
        <v>138</v>
      </c>
      <c r="B15" s="158">
        <v>1</v>
      </c>
      <c r="C15" s="159">
        <v>350</v>
      </c>
    </row>
    <row r="16" ht="32.05" customHeight="1">
      <c r="A16" t="s" s="157">
        <v>141</v>
      </c>
      <c r="B16" s="158">
        <v>1</v>
      </c>
      <c r="C16" s="159">
        <v>1000</v>
      </c>
    </row>
    <row r="17" ht="44.05" customHeight="1">
      <c r="A17" t="s" s="157">
        <v>156</v>
      </c>
      <c r="B17" s="158">
        <v>1</v>
      </c>
      <c r="C17" s="159">
        <v>3500</v>
      </c>
    </row>
    <row r="18" ht="32.05" customHeight="1">
      <c r="A18" t="s" s="157">
        <v>143</v>
      </c>
      <c r="B18" s="158">
        <v>1</v>
      </c>
      <c r="C18" s="159">
        <v>1000</v>
      </c>
    </row>
    <row r="19" ht="44.05" customHeight="1">
      <c r="A19" t="s" s="157">
        <v>162</v>
      </c>
      <c r="B19" s="158">
        <v>1</v>
      </c>
      <c r="C19" s="159">
        <v>481</v>
      </c>
    </row>
    <row r="20" ht="20.05" customHeight="1">
      <c r="A20" t="s" s="157">
        <v>154</v>
      </c>
      <c r="B20" s="158">
        <v>1</v>
      </c>
      <c r="C20" s="159">
        <v>5500</v>
      </c>
    </row>
    <row r="21" ht="32.05" customHeight="1">
      <c r="A21" t="s" s="157">
        <v>155</v>
      </c>
      <c r="B21" s="158">
        <v>1</v>
      </c>
      <c r="C21" s="159">
        <v>2000</v>
      </c>
    </row>
    <row r="22" ht="68.05" customHeight="1">
      <c r="A22" t="s" s="157">
        <v>171</v>
      </c>
      <c r="B22" s="158">
        <v>0</v>
      </c>
      <c r="C22" s="159">
        <v>11681</v>
      </c>
    </row>
    <row r="23" ht="56.05" customHeight="1">
      <c r="A23" t="s" s="157">
        <v>170</v>
      </c>
      <c r="B23" s="158">
        <v>0</v>
      </c>
      <c r="C23" s="159">
        <v>33050</v>
      </c>
    </row>
    <row r="24" ht="20.05" customHeight="1">
      <c r="A24" t="s" s="157">
        <v>133</v>
      </c>
      <c r="B24" s="158">
        <v>1</v>
      </c>
      <c r="C24" s="159">
        <v>94500</v>
      </c>
    </row>
    <row r="25" ht="20.05" customHeight="1">
      <c r="A25" t="s" s="157">
        <v>124</v>
      </c>
      <c r="B25" s="158">
        <v>3</v>
      </c>
      <c r="C25" s="159">
        <v>1200</v>
      </c>
    </row>
    <row r="26" ht="32.05" customHeight="1">
      <c r="A26" t="s" s="157">
        <v>12</v>
      </c>
      <c r="B26" s="158">
        <v>1</v>
      </c>
      <c r="C26" s="159">
        <v>500</v>
      </c>
    </row>
    <row r="27" ht="20.05" customHeight="1">
      <c r="A27" t="s" s="157">
        <v>135</v>
      </c>
      <c r="B27" s="158">
        <v>1</v>
      </c>
      <c r="C27" s="159">
        <v>8000</v>
      </c>
    </row>
    <row r="28" ht="20.05" customHeight="1">
      <c r="A28" t="s" s="157">
        <v>153</v>
      </c>
      <c r="B28" s="158">
        <v>1</v>
      </c>
      <c r="C28" s="159">
        <v>5000</v>
      </c>
    </row>
    <row r="29" ht="32.05" customHeight="1">
      <c r="A29" t="s" s="157">
        <v>161</v>
      </c>
      <c r="B29" s="158">
        <v>1</v>
      </c>
      <c r="C29" s="159">
        <v>12000</v>
      </c>
    </row>
    <row r="30" ht="20.05" customHeight="1">
      <c r="A30" t="s" s="157">
        <v>64</v>
      </c>
      <c r="B30" s="158">
        <v>2</v>
      </c>
      <c r="C30" s="159">
        <v>800</v>
      </c>
    </row>
    <row r="31" ht="32.05" customHeight="1">
      <c r="A31" t="s" s="157">
        <v>112</v>
      </c>
      <c r="B31" s="158">
        <v>4</v>
      </c>
      <c r="C31" s="159">
        <v>26500</v>
      </c>
    </row>
    <row r="32" ht="20.05" customHeight="1">
      <c r="A32" t="s" s="157">
        <v>144</v>
      </c>
      <c r="B32" s="158">
        <v>364</v>
      </c>
      <c r="C32" s="159">
        <v>174720</v>
      </c>
    </row>
    <row r="33" ht="32.05" customHeight="1">
      <c r="A33" t="s" s="157">
        <v>145</v>
      </c>
      <c r="B33" s="158">
        <v>364</v>
      </c>
      <c r="C33" s="159">
        <v>7280</v>
      </c>
    </row>
    <row r="34" ht="20.05" customHeight="1">
      <c r="A34" t="s" s="157">
        <v>151</v>
      </c>
      <c r="B34" s="158">
        <v>1</v>
      </c>
      <c r="C34" s="159">
        <v>40000</v>
      </c>
    </row>
    <row r="35" ht="32.05" customHeight="1">
      <c r="A35" t="s" s="157">
        <v>107</v>
      </c>
      <c r="B35" s="158">
        <v>5</v>
      </c>
      <c r="C35" s="159">
        <v>1000</v>
      </c>
    </row>
    <row r="36" ht="32.05" customHeight="1">
      <c r="A36" t="s" s="157">
        <v>108</v>
      </c>
      <c r="B36" s="158">
        <v>45</v>
      </c>
      <c r="C36" s="159">
        <v>1350</v>
      </c>
    </row>
    <row r="37" ht="32.05" customHeight="1">
      <c r="A37" t="s" s="157">
        <v>140</v>
      </c>
      <c r="B37" s="158">
        <v>1</v>
      </c>
      <c r="C37" s="159">
        <v>3100</v>
      </c>
    </row>
    <row r="38" ht="44.05" customHeight="1">
      <c r="A38" t="s" s="157">
        <v>131</v>
      </c>
      <c r="B38" s="158">
        <v>4</v>
      </c>
      <c r="C38" s="159">
        <v>1600</v>
      </c>
    </row>
    <row r="39" ht="32.05" customHeight="1">
      <c r="A39" t="s" s="157">
        <v>130</v>
      </c>
      <c r="B39" s="158">
        <v>1</v>
      </c>
      <c r="C39" s="159">
        <v>12475</v>
      </c>
    </row>
    <row r="40" ht="20.05" customHeight="1">
      <c r="A40" t="s" s="157">
        <v>139</v>
      </c>
      <c r="B40" s="158">
        <v>2</v>
      </c>
      <c r="C40" s="159">
        <v>9300</v>
      </c>
    </row>
    <row r="41" ht="32.05" customHeight="1">
      <c r="A41" t="s" s="157">
        <v>152</v>
      </c>
      <c r="B41" s="158">
        <v>1</v>
      </c>
      <c r="C41" s="159">
        <v>2000</v>
      </c>
    </row>
    <row r="42" ht="32.05" customHeight="1">
      <c r="A42" t="s" s="157">
        <v>120</v>
      </c>
      <c r="B42" s="158">
        <v>3</v>
      </c>
      <c r="C42" s="159">
        <v>1500</v>
      </c>
    </row>
    <row r="43" ht="44.05" customHeight="1">
      <c r="A43" t="s" s="157">
        <v>150</v>
      </c>
      <c r="B43" s="158">
        <v>1</v>
      </c>
      <c r="C43" s="159">
        <v>1000</v>
      </c>
    </row>
    <row r="44" ht="32.05" customHeight="1">
      <c r="A44" t="s" s="157">
        <v>118</v>
      </c>
      <c r="B44" s="158">
        <v>1</v>
      </c>
      <c r="C44" s="159">
        <v>600</v>
      </c>
    </row>
    <row r="45" ht="32.05" customHeight="1">
      <c r="A45" t="s" s="157">
        <v>119</v>
      </c>
      <c r="B45" s="158">
        <v>2</v>
      </c>
      <c r="C45" s="159">
        <v>600</v>
      </c>
    </row>
    <row r="46" ht="32.05" customHeight="1">
      <c r="A46" t="s" s="157">
        <v>125</v>
      </c>
      <c r="B46" s="158">
        <v>2</v>
      </c>
      <c r="C46" s="159">
        <v>22000</v>
      </c>
    </row>
    <row r="47" ht="32.05" customHeight="1">
      <c r="A47" t="s" s="157">
        <v>33</v>
      </c>
      <c r="B47" s="158">
        <v>500</v>
      </c>
      <c r="C47" s="159">
        <v>165000</v>
      </c>
    </row>
    <row r="48" ht="32.05" customHeight="1">
      <c r="A48" t="s" s="157">
        <v>8</v>
      </c>
      <c r="B48" s="158">
        <v>30</v>
      </c>
      <c r="C48" s="159">
        <v>15000</v>
      </c>
    </row>
    <row r="49" ht="20.05" customHeight="1">
      <c r="A49" t="s" s="157">
        <v>10</v>
      </c>
      <c r="B49" s="158">
        <v>35</v>
      </c>
      <c r="C49" s="159">
        <v>4550</v>
      </c>
    </row>
    <row r="50" ht="32.05" customHeight="1">
      <c r="A50" t="s" s="157">
        <v>116</v>
      </c>
      <c r="B50" s="158">
        <v>9</v>
      </c>
      <c r="C50" s="159">
        <v>18200</v>
      </c>
    </row>
    <row r="51" ht="20.05" customHeight="1">
      <c r="A51" t="s" s="157">
        <v>136</v>
      </c>
      <c r="B51" s="158">
        <v>25</v>
      </c>
      <c r="C51" s="159">
        <v>750</v>
      </c>
    </row>
    <row r="52" ht="20.05" customHeight="1">
      <c r="A52" t="s" s="157">
        <v>122</v>
      </c>
      <c r="B52" s="158">
        <v>8</v>
      </c>
      <c r="C52" s="159">
        <v>800</v>
      </c>
    </row>
    <row r="53" ht="20.05" customHeight="1">
      <c r="A53" t="s" s="157">
        <v>115</v>
      </c>
      <c r="B53" s="158">
        <v>17</v>
      </c>
      <c r="C53" s="159">
        <v>1700</v>
      </c>
    </row>
    <row r="54" ht="20.05" customHeight="1">
      <c r="A54" t="s" s="157">
        <v>137</v>
      </c>
      <c r="B54" s="158">
        <v>1</v>
      </c>
      <c r="C54" s="159">
        <v>1200</v>
      </c>
    </row>
    <row r="55" ht="32.05" customHeight="1">
      <c r="A55" t="s" s="157">
        <v>172</v>
      </c>
      <c r="B55" s="158">
        <v>0</v>
      </c>
      <c r="C55" s="159">
        <v>222300</v>
      </c>
    </row>
    <row r="56" ht="32.05" customHeight="1">
      <c r="A56" t="s" s="157">
        <v>174</v>
      </c>
      <c r="B56" s="158">
        <v>0</v>
      </c>
      <c r="C56" s="159">
        <v>222000</v>
      </c>
    </row>
    <row r="57" ht="20.05" customHeight="1">
      <c r="A57" t="s" s="157">
        <v>142</v>
      </c>
      <c r="B57" s="158">
        <v>1</v>
      </c>
      <c r="C57" s="159">
        <v>16000</v>
      </c>
    </row>
    <row r="58" ht="32.05" customHeight="1">
      <c r="A58" t="s" s="157">
        <v>129</v>
      </c>
      <c r="B58" s="158">
        <v>1</v>
      </c>
      <c r="C58" s="159">
        <v>19000</v>
      </c>
    </row>
    <row r="59" ht="32.05" customHeight="1">
      <c r="A59" t="s" s="157">
        <v>63</v>
      </c>
      <c r="B59" s="158">
        <v>52</v>
      </c>
      <c r="C59" s="159">
        <v>88400</v>
      </c>
    </row>
    <row r="60" ht="32.05" customHeight="1">
      <c r="A60" t="s" s="157">
        <v>121</v>
      </c>
      <c r="B60" s="158">
        <v>65</v>
      </c>
      <c r="C60" s="159">
        <v>32500</v>
      </c>
    </row>
    <row r="61" ht="44.05" customHeight="1">
      <c r="A61" t="s" s="157">
        <v>158</v>
      </c>
      <c r="B61" s="158">
        <v>60</v>
      </c>
      <c r="C61" s="159">
        <v>3600</v>
      </c>
    </row>
    <row r="62" ht="32.05" customHeight="1">
      <c r="A62" t="s" s="157">
        <v>77</v>
      </c>
      <c r="B62" s="158">
        <v>1</v>
      </c>
      <c r="C62" s="159">
        <v>500</v>
      </c>
    </row>
    <row r="63" ht="20.05" customHeight="1">
      <c r="A63" t="s" s="157">
        <v>128</v>
      </c>
      <c r="B63" s="158">
        <v>1</v>
      </c>
      <c r="C63" s="159">
        <v>200</v>
      </c>
    </row>
    <row r="64" ht="44.05" customHeight="1">
      <c r="A64" t="s" s="157">
        <v>102</v>
      </c>
      <c r="B64" s="158">
        <v>0</v>
      </c>
      <c r="C64" s="160">
        <v>0</v>
      </c>
    </row>
    <row r="65" ht="56.05" customHeight="1">
      <c r="A65" t="s" s="157">
        <v>165</v>
      </c>
      <c r="B65" s="158">
        <v>1</v>
      </c>
      <c r="C65" s="159">
        <v>2000</v>
      </c>
    </row>
    <row r="66" ht="32.05" customHeight="1">
      <c r="A66" t="s" s="157">
        <v>157</v>
      </c>
      <c r="B66" s="158">
        <v>1</v>
      </c>
      <c r="C66" s="159">
        <v>10000</v>
      </c>
    </row>
    <row r="67" ht="20.05" customHeight="1">
      <c r="A67" t="s" s="157">
        <v>134</v>
      </c>
      <c r="B67" s="158">
        <v>3</v>
      </c>
      <c r="C67" s="159">
        <v>24000</v>
      </c>
    </row>
    <row r="68" ht="56.05" customHeight="1">
      <c r="A68" t="s" s="157">
        <v>166</v>
      </c>
      <c r="B68" s="158">
        <v>1</v>
      </c>
      <c r="C68" s="159">
        <v>8000</v>
      </c>
    </row>
    <row r="69" ht="44.05" customHeight="1">
      <c r="A69" t="s" s="157">
        <v>168</v>
      </c>
      <c r="B69" s="158">
        <v>0</v>
      </c>
      <c r="C69" s="159">
        <v>556875</v>
      </c>
    </row>
    <row r="70" ht="32.05" customHeight="1">
      <c r="A70" t="s" s="157">
        <v>149</v>
      </c>
      <c r="B70" s="158">
        <v>1</v>
      </c>
      <c r="C70" s="159">
        <v>6500</v>
      </c>
    </row>
    <row r="71" ht="20.05" customHeight="1">
      <c r="A71" t="s" s="157">
        <v>148</v>
      </c>
      <c r="B71" s="158">
        <v>1</v>
      </c>
      <c r="C71" s="159">
        <v>8000</v>
      </c>
    </row>
    <row r="72" ht="32.05" customHeight="1">
      <c r="A72" t="s" s="157">
        <v>147</v>
      </c>
      <c r="B72" s="158">
        <v>1</v>
      </c>
      <c r="C72" s="159">
        <v>1500</v>
      </c>
    </row>
    <row r="73" ht="20.05" customHeight="1">
      <c r="A73" t="s" s="157">
        <v>167</v>
      </c>
      <c r="B73" s="158">
        <v>0</v>
      </c>
      <c r="C73" s="160">
        <v>1017906</v>
      </c>
    </row>
    <row r="74" ht="68.05" customHeight="1">
      <c r="A74" t="s" s="157">
        <v>175</v>
      </c>
      <c r="B74" s="158">
        <v>0</v>
      </c>
      <c r="C74" s="159">
        <v>1017906</v>
      </c>
    </row>
    <row r="75" ht="44.05" customHeight="1">
      <c r="A75" t="s" s="157">
        <v>101</v>
      </c>
      <c r="B75" s="158">
        <v>0</v>
      </c>
      <c r="C75" s="160">
        <v>1017906</v>
      </c>
    </row>
    <row r="76" ht="20.05" customHeight="1">
      <c r="A76" t="s" s="157">
        <v>132</v>
      </c>
      <c r="B76" s="158">
        <v>3</v>
      </c>
      <c r="C76" s="159">
        <v>42000</v>
      </c>
    </row>
    <row r="77" ht="32.05" customHeight="1">
      <c r="A77" t="s" s="157">
        <v>126</v>
      </c>
      <c r="B77" s="158">
        <v>1</v>
      </c>
      <c r="C77" s="159">
        <v>110</v>
      </c>
    </row>
    <row r="78" ht="32.25" customHeight="1">
      <c r="A78" t="s" s="161">
        <v>111</v>
      </c>
      <c r="B78" s="162">
        <v>1</v>
      </c>
      <c r="C78" s="163">
        <v>500</v>
      </c>
    </row>
    <row r="79" ht="20.25" customHeight="1">
      <c r="A79" t="s" s="164">
        <v>179</v>
      </c>
      <c r="B79" s="165">
        <v>3588</v>
      </c>
      <c r="C79" s="166">
        <v>5145530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X175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7" width="16.3516" style="167" customWidth="1"/>
    <col min="8" max="8" width="38.9844" style="167" customWidth="1"/>
    <col min="9" max="12" width="16.3516" style="167" customWidth="1"/>
    <col min="13" max="13" width="31.0312" style="210" customWidth="1"/>
    <col min="14" max="17" width="16.3516" style="210" customWidth="1"/>
    <col min="18" max="18" width="20.1641" style="210" customWidth="1"/>
    <col min="19" max="19" width="33.8516" style="236" customWidth="1"/>
    <col min="20" max="24" width="16.3516" style="236" customWidth="1"/>
    <col min="25" max="16384" width="16.3516" style="236" customWidth="1"/>
  </cols>
  <sheetData>
    <row r="1" ht="27.65" customHeight="1">
      <c r="A1" t="s" s="168">
        <v>180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</row>
    <row r="2" ht="23.2" customHeight="1">
      <c r="A2" t="s" s="169">
        <v>1</v>
      </c>
      <c r="B2" t="s" s="169">
        <v>2</v>
      </c>
      <c r="C2" t="s" s="169">
        <v>3</v>
      </c>
      <c r="D2" t="s" s="169">
        <v>181</v>
      </c>
      <c r="E2" t="s" s="169">
        <v>182</v>
      </c>
      <c r="F2" t="s" s="169">
        <v>5</v>
      </c>
      <c r="G2" s="170"/>
      <c r="H2" s="171"/>
      <c r="I2" s="171"/>
      <c r="J2" s="171"/>
      <c r="K2" s="171"/>
      <c r="L2" s="171"/>
    </row>
    <row r="3" ht="22.2" customHeight="1">
      <c r="A3" t="s" s="172">
        <v>144</v>
      </c>
      <c r="B3" s="173">
        <v>100</v>
      </c>
      <c r="C3" s="174">
        <v>480</v>
      </c>
      <c r="D3" s="173" cm="1">
        <f t="array" ref="D3">C3*B3</f>
        <v>48000</v>
      </c>
      <c r="E3" t="s" s="175">
        <v>183</v>
      </c>
      <c r="F3" s="176">
        <v>45944</v>
      </c>
      <c r="G3" s="177"/>
      <c r="H3" s="178"/>
      <c r="I3" s="178"/>
      <c r="J3" s="178"/>
      <c r="K3" s="178"/>
      <c r="L3" s="178"/>
    </row>
    <row r="4" ht="22" customHeight="1">
      <c r="A4" t="s" s="172">
        <v>15</v>
      </c>
      <c r="B4" s="173">
        <v>100</v>
      </c>
      <c r="C4" s="174">
        <v>20</v>
      </c>
      <c r="D4" s="173" cm="1">
        <f t="array" ref="D4">C4*B4</f>
        <v>2000</v>
      </c>
      <c r="E4" t="s" s="175">
        <v>183</v>
      </c>
      <c r="F4" s="176">
        <v>45944</v>
      </c>
      <c r="G4" s="179"/>
      <c r="H4" s="97"/>
      <c r="I4" s="97"/>
      <c r="J4" s="97"/>
      <c r="K4" s="97"/>
      <c r="L4" s="97"/>
    </row>
    <row r="5" ht="22" customHeight="1">
      <c r="A5" t="s" s="172">
        <v>134</v>
      </c>
      <c r="B5" s="173">
        <v>1</v>
      </c>
      <c r="C5" s="174">
        <v>8500</v>
      </c>
      <c r="D5" s="173" cm="1">
        <f t="array" ref="D5">C5*B5</f>
        <v>8500</v>
      </c>
      <c r="E5" t="s" s="175">
        <v>183</v>
      </c>
      <c r="F5" s="176">
        <v>45944</v>
      </c>
      <c r="G5" s="179"/>
      <c r="H5" s="97"/>
      <c r="I5" s="97"/>
      <c r="J5" s="97"/>
      <c r="K5" s="97"/>
      <c r="L5" s="97"/>
    </row>
    <row r="6" ht="22" customHeight="1">
      <c r="A6" t="s" s="172">
        <v>134</v>
      </c>
      <c r="B6" s="173">
        <v>1</v>
      </c>
      <c r="C6" s="174">
        <v>8500</v>
      </c>
      <c r="D6" s="173" cm="1">
        <f t="array" ref="D6">C6*B6</f>
        <v>8500</v>
      </c>
      <c r="E6" t="s" s="175">
        <v>183</v>
      </c>
      <c r="F6" s="176">
        <v>45945</v>
      </c>
      <c r="G6" s="179"/>
      <c r="H6" s="97"/>
      <c r="I6" s="97"/>
      <c r="J6" s="97"/>
      <c r="K6" s="97"/>
      <c r="L6" s="97"/>
    </row>
    <row r="7" ht="22" customHeight="1">
      <c r="A7" t="s" s="172">
        <v>134</v>
      </c>
      <c r="B7" s="173">
        <v>1</v>
      </c>
      <c r="C7" s="174">
        <v>8500</v>
      </c>
      <c r="D7" s="173" cm="1">
        <f t="array" ref="D7">C7*B7</f>
        <v>8500</v>
      </c>
      <c r="E7" t="s" s="175">
        <v>183</v>
      </c>
      <c r="F7" s="176">
        <v>45947</v>
      </c>
      <c r="G7" s="179"/>
      <c r="H7" s="97"/>
      <c r="I7" s="97"/>
      <c r="J7" s="97"/>
      <c r="K7" s="97"/>
      <c r="L7" s="97"/>
    </row>
    <row r="8" ht="22" customHeight="1">
      <c r="A8" t="s" s="172">
        <v>184</v>
      </c>
      <c r="B8" s="173">
        <v>2910</v>
      </c>
      <c r="C8" s="174">
        <v>6</v>
      </c>
      <c r="D8" s="173">
        <v>17460</v>
      </c>
      <c r="E8" t="s" s="175">
        <v>183</v>
      </c>
      <c r="F8" s="176">
        <v>45950</v>
      </c>
      <c r="G8" s="179"/>
      <c r="H8" s="97"/>
      <c r="I8" s="97"/>
      <c r="J8" s="97"/>
      <c r="K8" s="97"/>
      <c r="L8" s="97"/>
    </row>
    <row r="9" ht="22" customHeight="1">
      <c r="A9" t="s" s="180">
        <v>144</v>
      </c>
      <c r="B9" s="181">
        <v>100</v>
      </c>
      <c r="C9" s="182">
        <v>480</v>
      </c>
      <c r="D9" s="181" cm="1">
        <f t="array" ref="D9">C9*B9</f>
        <v>48000</v>
      </c>
      <c r="E9" t="s" s="175">
        <v>183</v>
      </c>
      <c r="F9" s="183">
        <v>45950</v>
      </c>
      <c r="G9" s="179"/>
      <c r="H9" s="97"/>
      <c r="I9" s="97"/>
      <c r="J9" s="97"/>
      <c r="K9" s="97"/>
      <c r="L9" s="97"/>
    </row>
    <row r="10" ht="22" customHeight="1">
      <c r="A10" t="s" s="180">
        <v>15</v>
      </c>
      <c r="B10" s="181">
        <v>100</v>
      </c>
      <c r="C10" s="182">
        <v>20</v>
      </c>
      <c r="D10" s="181" cm="1">
        <f t="array" ref="D10">C10*B10</f>
        <v>2000</v>
      </c>
      <c r="E10" t="s" s="175">
        <v>183</v>
      </c>
      <c r="F10" s="183">
        <v>45950</v>
      </c>
      <c r="G10" s="179"/>
      <c r="H10" s="97"/>
      <c r="I10" s="97"/>
      <c r="J10" s="97"/>
      <c r="K10" s="97"/>
      <c r="L10" s="97"/>
    </row>
    <row r="11" ht="22" customHeight="1">
      <c r="A11" t="s" s="180">
        <v>134</v>
      </c>
      <c r="B11" s="181">
        <v>1</v>
      </c>
      <c r="C11" s="182">
        <v>8500</v>
      </c>
      <c r="D11" s="181" cm="1">
        <f t="array" ref="D11">C11*B11</f>
        <v>8500</v>
      </c>
      <c r="E11" t="s" s="175">
        <v>183</v>
      </c>
      <c r="F11" s="183">
        <v>45951</v>
      </c>
      <c r="G11" s="179"/>
      <c r="H11" s="97"/>
      <c r="I11" s="97"/>
      <c r="J11" s="97"/>
      <c r="K11" s="97"/>
      <c r="L11" s="97"/>
    </row>
    <row r="12" ht="22" customHeight="1">
      <c r="A12" t="s" s="180">
        <v>134</v>
      </c>
      <c r="B12" s="181">
        <v>1</v>
      </c>
      <c r="C12" s="182">
        <v>8500</v>
      </c>
      <c r="D12" s="181" cm="1">
        <f t="array" ref="D12">C12*B12</f>
        <v>8500</v>
      </c>
      <c r="E12" t="s" s="175">
        <v>183</v>
      </c>
      <c r="F12" s="183">
        <v>45953</v>
      </c>
      <c r="G12" s="179"/>
      <c r="H12" s="97"/>
      <c r="I12" s="97"/>
      <c r="J12" s="97"/>
      <c r="K12" s="97"/>
      <c r="L12" s="97"/>
    </row>
    <row r="13" ht="22" customHeight="1">
      <c r="A13" t="s" s="180">
        <v>184</v>
      </c>
      <c r="B13" s="181">
        <v>2766</v>
      </c>
      <c r="C13" s="182">
        <v>6</v>
      </c>
      <c r="D13" s="181" cm="1">
        <f t="array" ref="D13">C13*B13+4</f>
        <v>16600</v>
      </c>
      <c r="E13" t="s" s="175">
        <v>183</v>
      </c>
      <c r="F13" s="183">
        <v>45957</v>
      </c>
      <c r="G13" s="179"/>
      <c r="H13" s="97"/>
      <c r="I13" s="97"/>
      <c r="J13" s="97"/>
      <c r="K13" s="97"/>
      <c r="L13" s="97"/>
    </row>
    <row r="14" ht="22" customHeight="1">
      <c r="A14" t="s" s="184">
        <v>144</v>
      </c>
      <c r="B14" s="185">
        <v>50</v>
      </c>
      <c r="C14" s="186">
        <v>480</v>
      </c>
      <c r="D14" s="185" cm="1">
        <f t="array" ref="D14">C14*B14</f>
        <v>24000</v>
      </c>
      <c r="E14" t="s" s="175">
        <v>183</v>
      </c>
      <c r="F14" s="187">
        <v>45957</v>
      </c>
      <c r="G14" s="179"/>
      <c r="H14" s="97"/>
      <c r="I14" s="97"/>
      <c r="J14" s="97"/>
      <c r="K14" s="97"/>
      <c r="L14" s="97"/>
    </row>
    <row r="15" ht="22" customHeight="1">
      <c r="A15" t="s" s="184">
        <v>15</v>
      </c>
      <c r="B15" s="185">
        <v>50</v>
      </c>
      <c r="C15" s="186">
        <v>20</v>
      </c>
      <c r="D15" s="185" cm="1">
        <f t="array" ref="D15">C15*B15</f>
        <v>1000</v>
      </c>
      <c r="E15" t="s" s="175">
        <v>183</v>
      </c>
      <c r="F15" s="187">
        <v>45957</v>
      </c>
      <c r="G15" s="179"/>
      <c r="H15" s="97"/>
      <c r="I15" s="97"/>
      <c r="J15" s="97"/>
      <c r="K15" s="97"/>
      <c r="L15" s="97"/>
    </row>
    <row r="16" ht="22" customHeight="1">
      <c r="A16" t="s" s="184">
        <v>134</v>
      </c>
      <c r="B16" s="185">
        <v>1</v>
      </c>
      <c r="C16" s="186">
        <v>8500</v>
      </c>
      <c r="D16" s="185" cm="1">
        <f t="array" ref="D16">C16*B16</f>
        <v>8500</v>
      </c>
      <c r="E16" t="s" s="175">
        <v>183</v>
      </c>
      <c r="F16" s="187">
        <v>45957</v>
      </c>
      <c r="G16" s="179"/>
      <c r="H16" s="97"/>
      <c r="I16" s="97"/>
      <c r="J16" s="97"/>
      <c r="K16" s="97"/>
      <c r="L16" s="97"/>
    </row>
    <row r="17" ht="22" customHeight="1">
      <c r="A17" t="s" s="184">
        <v>184</v>
      </c>
      <c r="B17" s="185">
        <v>1400</v>
      </c>
      <c r="C17" s="186">
        <v>6</v>
      </c>
      <c r="D17" s="185" cm="1">
        <f t="array" ref="D17">C17*B17</f>
        <v>8400</v>
      </c>
      <c r="E17" t="s" s="175">
        <v>183</v>
      </c>
      <c r="F17" s="187">
        <v>45959</v>
      </c>
      <c r="G17" s="179"/>
      <c r="H17" s="97"/>
      <c r="I17" s="97"/>
      <c r="J17" s="97"/>
      <c r="K17" s="97"/>
      <c r="L17" s="97"/>
    </row>
    <row r="18" ht="22" customHeight="1">
      <c r="A18" t="s" s="184">
        <v>144</v>
      </c>
      <c r="B18" s="185">
        <v>200</v>
      </c>
      <c r="C18" s="186">
        <v>415</v>
      </c>
      <c r="D18" s="185" cm="1">
        <f t="array" ref="D18">C18*B18</f>
        <v>83000</v>
      </c>
      <c r="E18" t="s" s="188">
        <v>185</v>
      </c>
      <c r="F18" s="189">
        <v>46112</v>
      </c>
      <c r="G18" s="179"/>
      <c r="H18" s="97"/>
      <c r="I18" s="97"/>
      <c r="J18" s="97"/>
      <c r="K18" s="97"/>
      <c r="L18" s="97"/>
    </row>
    <row r="19" ht="22" customHeight="1">
      <c r="A19" t="s" s="184">
        <v>15</v>
      </c>
      <c r="B19" s="185">
        <v>200</v>
      </c>
      <c r="C19" s="186">
        <v>30</v>
      </c>
      <c r="D19" s="185" cm="1">
        <f t="array" ref="D19">C19*B19</f>
        <v>6000</v>
      </c>
      <c r="E19" t="s" s="188">
        <v>185</v>
      </c>
      <c r="F19" s="189">
        <v>46112</v>
      </c>
      <c r="G19" s="179"/>
      <c r="H19" s="97"/>
      <c r="I19" s="97"/>
      <c r="J19" s="97"/>
      <c r="K19" s="97"/>
      <c r="L19" s="97"/>
    </row>
    <row r="20" ht="22" customHeight="1">
      <c r="A20" t="s" s="184">
        <v>186</v>
      </c>
      <c r="B20" s="185">
        <v>3</v>
      </c>
      <c r="C20" s="186">
        <v>100</v>
      </c>
      <c r="D20" s="185" cm="1">
        <f t="array" ref="D20">C20*B20</f>
        <v>300</v>
      </c>
      <c r="E20" t="s" s="188">
        <v>185</v>
      </c>
      <c r="F20" s="189">
        <v>46113</v>
      </c>
      <c r="G20" s="179"/>
      <c r="H20" s="97"/>
      <c r="I20" s="97"/>
      <c r="J20" s="97"/>
      <c r="K20" s="97"/>
      <c r="L20" s="97"/>
    </row>
    <row r="21" ht="22" customHeight="1">
      <c r="A21" t="s" s="184">
        <v>17</v>
      </c>
      <c r="B21" s="185">
        <v>1</v>
      </c>
      <c r="C21" s="186">
        <v>400</v>
      </c>
      <c r="D21" s="185" cm="1">
        <f t="array" ref="D21">C21*B21</f>
        <v>400</v>
      </c>
      <c r="E21" t="s" s="188">
        <v>185</v>
      </c>
      <c r="F21" s="189">
        <v>46113</v>
      </c>
      <c r="G21" s="179"/>
      <c r="H21" s="97"/>
      <c r="I21" s="97"/>
      <c r="J21" s="97"/>
      <c r="K21" s="97"/>
      <c r="L21" s="97"/>
    </row>
    <row r="22" ht="22" customHeight="1">
      <c r="A22" t="s" s="184">
        <v>134</v>
      </c>
      <c r="B22" s="185">
        <v>1</v>
      </c>
      <c r="C22" s="186">
        <v>8000</v>
      </c>
      <c r="D22" s="185" cm="1">
        <f t="array" ref="D22">C22*B22</f>
        <v>8000</v>
      </c>
      <c r="E22" t="s" s="188">
        <v>185</v>
      </c>
      <c r="F22" s="189">
        <v>46114</v>
      </c>
      <c r="G22" s="179"/>
      <c r="H22" s="97"/>
      <c r="I22" s="97"/>
      <c r="J22" s="97"/>
      <c r="K22" s="97"/>
      <c r="L22" s="97"/>
    </row>
    <row r="23" ht="22" customHeight="1">
      <c r="A23" t="s" s="184">
        <v>187</v>
      </c>
      <c r="B23" s="185">
        <v>1</v>
      </c>
      <c r="C23" s="186">
        <v>80</v>
      </c>
      <c r="D23" s="185" cm="1">
        <f t="array" ref="D23">C23*B23</f>
        <v>80</v>
      </c>
      <c r="E23" t="s" s="188">
        <v>185</v>
      </c>
      <c r="F23" s="189">
        <v>46114</v>
      </c>
      <c r="G23" s="179"/>
      <c r="H23" s="97"/>
      <c r="I23" s="97"/>
      <c r="J23" s="97"/>
      <c r="K23" s="97"/>
      <c r="L23" s="97"/>
    </row>
    <row r="24" ht="22" customHeight="1">
      <c r="A24" t="s" s="184">
        <v>134</v>
      </c>
      <c r="B24" s="185">
        <v>1</v>
      </c>
      <c r="C24" s="186">
        <v>8000</v>
      </c>
      <c r="D24" s="185" cm="1">
        <f t="array" ref="D24">C24*B24</f>
        <v>8000</v>
      </c>
      <c r="E24" t="s" s="188">
        <v>185</v>
      </c>
      <c r="F24" s="189">
        <v>46116</v>
      </c>
      <c r="G24" s="179"/>
      <c r="H24" s="97"/>
      <c r="I24" s="97"/>
      <c r="J24" s="97"/>
      <c r="K24" s="97"/>
      <c r="L24" s="97"/>
    </row>
    <row r="25" ht="22" customHeight="1">
      <c r="A25" t="s" s="184">
        <v>17</v>
      </c>
      <c r="B25" s="185">
        <v>2</v>
      </c>
      <c r="C25" s="186">
        <v>400</v>
      </c>
      <c r="D25" s="185" cm="1">
        <f t="array" ref="D25">C25*B25</f>
        <v>800</v>
      </c>
      <c r="E25" t="s" s="188">
        <v>185</v>
      </c>
      <c r="F25" s="189">
        <v>46120</v>
      </c>
      <c r="G25" s="179"/>
      <c r="H25" s="97"/>
      <c r="I25" s="97"/>
      <c r="J25" s="97"/>
      <c r="K25" s="97"/>
      <c r="L25" s="97"/>
    </row>
    <row r="26" ht="22" customHeight="1">
      <c r="A26" t="s" s="184">
        <v>134</v>
      </c>
      <c r="B26" s="185">
        <v>1</v>
      </c>
      <c r="C26" s="186">
        <v>8000</v>
      </c>
      <c r="D26" s="185" cm="1">
        <f t="array" ref="D26">C26*B26</f>
        <v>8000</v>
      </c>
      <c r="E26" t="s" s="188">
        <v>185</v>
      </c>
      <c r="F26" s="189">
        <v>46122</v>
      </c>
      <c r="G26" s="179"/>
      <c r="H26" s="97"/>
      <c r="I26" s="97"/>
      <c r="J26" s="97"/>
      <c r="K26" s="97"/>
      <c r="L26" s="97"/>
    </row>
    <row r="27" ht="22" customHeight="1">
      <c r="A27" t="s" s="184">
        <v>187</v>
      </c>
      <c r="B27" s="185">
        <v>1</v>
      </c>
      <c r="C27" s="186">
        <v>80</v>
      </c>
      <c r="D27" s="185" cm="1">
        <f t="array" ref="D27">C27*B27</f>
        <v>80</v>
      </c>
      <c r="E27" t="s" s="188">
        <v>185</v>
      </c>
      <c r="F27" s="189">
        <v>46122</v>
      </c>
      <c r="G27" s="179"/>
      <c r="H27" s="97"/>
      <c r="I27" s="97"/>
      <c r="J27" s="97"/>
      <c r="K27" s="97"/>
      <c r="L27" s="97"/>
    </row>
    <row r="28" ht="22" customHeight="1">
      <c r="A28" t="s" s="184">
        <v>184</v>
      </c>
      <c r="B28" s="185">
        <v>1</v>
      </c>
      <c r="C28" s="186">
        <v>15000</v>
      </c>
      <c r="D28" s="185" cm="1">
        <f t="array" ref="D28">C28*B28</f>
        <v>15000</v>
      </c>
      <c r="E28" t="s" s="188">
        <v>185</v>
      </c>
      <c r="F28" s="189">
        <v>46123</v>
      </c>
      <c r="G28" s="179"/>
      <c r="H28" s="97"/>
      <c r="I28" s="97"/>
      <c r="J28" s="97"/>
      <c r="K28" s="97"/>
      <c r="L28" s="97"/>
    </row>
    <row r="29" ht="22" customHeight="1">
      <c r="A29" t="s" s="184">
        <v>134</v>
      </c>
      <c r="B29" s="185">
        <v>1</v>
      </c>
      <c r="C29" s="186">
        <v>8000</v>
      </c>
      <c r="D29" s="185" cm="1">
        <f t="array" ref="D29">C29*B29</f>
        <v>8000</v>
      </c>
      <c r="E29" t="s" s="188">
        <v>185</v>
      </c>
      <c r="F29" s="189">
        <v>46123</v>
      </c>
      <c r="G29" s="179"/>
      <c r="H29" s="97"/>
      <c r="I29" s="97"/>
      <c r="J29" s="97"/>
      <c r="K29" s="97"/>
      <c r="L29" s="97"/>
    </row>
    <row r="30" ht="22" customHeight="1">
      <c r="A30" t="s" s="184">
        <v>17</v>
      </c>
      <c r="B30" s="185">
        <v>1</v>
      </c>
      <c r="C30" s="186">
        <v>400</v>
      </c>
      <c r="D30" s="185" cm="1">
        <f t="array" ref="D30">C30*B30</f>
        <v>400</v>
      </c>
      <c r="E30" t="s" s="188">
        <v>185</v>
      </c>
      <c r="F30" s="189">
        <v>46126</v>
      </c>
      <c r="G30" s="179"/>
      <c r="H30" s="97"/>
      <c r="I30" s="97"/>
      <c r="J30" s="97"/>
      <c r="K30" s="97"/>
      <c r="L30" s="97"/>
    </row>
    <row r="31" ht="22" customHeight="1">
      <c r="A31" t="s" s="184">
        <v>17</v>
      </c>
      <c r="B31" s="185">
        <v>1</v>
      </c>
      <c r="C31" s="186">
        <v>400</v>
      </c>
      <c r="D31" s="185" cm="1">
        <f t="array" ref="D31">C31*B31</f>
        <v>400</v>
      </c>
      <c r="E31" t="s" s="188">
        <v>185</v>
      </c>
      <c r="F31" s="189">
        <v>46128</v>
      </c>
      <c r="G31" s="179"/>
      <c r="H31" s="97"/>
      <c r="I31" s="97"/>
      <c r="J31" s="97"/>
      <c r="K31" s="97"/>
      <c r="L31" s="97"/>
    </row>
    <row r="32" ht="22" customHeight="1">
      <c r="A32" t="s" s="184">
        <v>184</v>
      </c>
      <c r="B32" s="185">
        <v>1</v>
      </c>
      <c r="C32" s="186">
        <v>5000</v>
      </c>
      <c r="D32" s="185" cm="1">
        <f t="array" ref="D32">C32*B32</f>
        <v>5000</v>
      </c>
      <c r="E32" t="s" s="188">
        <v>185</v>
      </c>
      <c r="F32" s="189">
        <v>46128</v>
      </c>
      <c r="G32" s="179"/>
      <c r="H32" s="97"/>
      <c r="I32" s="97"/>
      <c r="J32" s="97"/>
      <c r="K32" s="97"/>
      <c r="L32" s="97"/>
    </row>
    <row r="33" ht="22" customHeight="1">
      <c r="A33" t="s" s="184">
        <v>134</v>
      </c>
      <c r="B33" s="185">
        <v>1</v>
      </c>
      <c r="C33" s="186">
        <v>8000</v>
      </c>
      <c r="D33" s="185" cm="1">
        <f t="array" ref="D33">C33*B33</f>
        <v>8000</v>
      </c>
      <c r="E33" t="s" s="188">
        <v>185</v>
      </c>
      <c r="F33" s="189">
        <v>46129</v>
      </c>
      <c r="G33" s="179"/>
      <c r="H33" s="97"/>
      <c r="I33" s="97"/>
      <c r="J33" s="97"/>
      <c r="K33" s="97"/>
      <c r="L33" s="97"/>
    </row>
    <row r="34" ht="22" customHeight="1">
      <c r="A34" t="s" s="184">
        <v>188</v>
      </c>
      <c r="B34" s="185">
        <v>1</v>
      </c>
      <c r="C34" s="186">
        <v>80</v>
      </c>
      <c r="D34" s="185" cm="1">
        <f t="array" ref="D34">C34*B34</f>
        <v>80</v>
      </c>
      <c r="E34" t="s" s="188">
        <v>185</v>
      </c>
      <c r="F34" s="189">
        <v>46129</v>
      </c>
      <c r="G34" s="179"/>
      <c r="H34" s="97"/>
      <c r="I34" s="97"/>
      <c r="J34" s="97"/>
      <c r="K34" s="97"/>
      <c r="L34" s="97"/>
    </row>
    <row r="35" ht="22" customHeight="1">
      <c r="A35" t="s" s="184">
        <v>134</v>
      </c>
      <c r="B35" s="185">
        <v>1</v>
      </c>
      <c r="C35" s="186">
        <v>8000</v>
      </c>
      <c r="D35" s="185" cm="1">
        <f t="array" ref="D35">C35*B35</f>
        <v>8000</v>
      </c>
      <c r="E35" t="s" s="188">
        <v>185</v>
      </c>
      <c r="F35" s="189">
        <v>46136</v>
      </c>
      <c r="G35" s="179"/>
      <c r="H35" s="97"/>
      <c r="I35" s="97"/>
      <c r="J35" s="97"/>
      <c r="K35" s="97"/>
      <c r="L35" s="97"/>
    </row>
    <row r="36" ht="22" customHeight="1">
      <c r="A36" t="s" s="184">
        <v>17</v>
      </c>
      <c r="B36" s="185">
        <v>1</v>
      </c>
      <c r="C36" s="186">
        <v>400</v>
      </c>
      <c r="D36" s="185" cm="1">
        <f t="array" ref="D36">C36*B36</f>
        <v>400</v>
      </c>
      <c r="E36" t="s" s="188">
        <v>185</v>
      </c>
      <c r="F36" s="189">
        <v>46136</v>
      </c>
      <c r="G36" s="179"/>
      <c r="H36" s="97"/>
      <c r="I36" s="97"/>
      <c r="J36" s="97"/>
      <c r="K36" s="97"/>
      <c r="L36" s="97"/>
    </row>
    <row r="37" ht="22" customHeight="1">
      <c r="A37" t="s" s="184">
        <v>184</v>
      </c>
      <c r="B37" s="185">
        <v>1</v>
      </c>
      <c r="C37" s="186">
        <v>16060</v>
      </c>
      <c r="D37" s="185" cm="1">
        <f t="array" ref="D37">C37*B37</f>
        <v>16060</v>
      </c>
      <c r="E37" t="s" s="188">
        <v>185</v>
      </c>
      <c r="F37" s="189">
        <v>46140</v>
      </c>
      <c r="G37" s="179"/>
      <c r="H37" s="97"/>
      <c r="I37" s="97"/>
      <c r="J37" s="97"/>
      <c r="K37" s="97"/>
      <c r="L37" s="97"/>
    </row>
    <row r="38" ht="22" customHeight="1">
      <c r="A38" s="190"/>
      <c r="B38" s="185"/>
      <c r="C38" s="186"/>
      <c r="D38" s="191"/>
      <c r="E38" s="191"/>
      <c r="F38" s="191"/>
      <c r="G38" s="179"/>
      <c r="H38" s="97"/>
      <c r="I38" s="97"/>
      <c r="J38" s="97"/>
      <c r="K38" s="97"/>
      <c r="L38" s="97"/>
    </row>
    <row r="39" ht="22" customHeight="1">
      <c r="A39" s="190"/>
      <c r="B39" s="185"/>
      <c r="C39" s="186"/>
      <c r="D39" s="191"/>
      <c r="E39" s="191"/>
      <c r="F39" s="191"/>
      <c r="G39" s="179"/>
      <c r="H39" s="97"/>
      <c r="I39" s="97"/>
      <c r="J39" s="97"/>
      <c r="K39" s="97"/>
      <c r="L39" s="97"/>
    </row>
    <row r="40" ht="22" customHeight="1">
      <c r="A40" s="190"/>
      <c r="B40" s="185"/>
      <c r="C40" s="186"/>
      <c r="D40" s="191"/>
      <c r="E40" s="191"/>
      <c r="F40" s="191"/>
      <c r="G40" s="179"/>
      <c r="H40" s="97"/>
      <c r="I40" s="97"/>
      <c r="J40" s="97"/>
      <c r="K40" s="97"/>
      <c r="L40" s="97"/>
    </row>
    <row r="41" ht="22" customHeight="1">
      <c r="A41" s="190"/>
      <c r="B41" s="185"/>
      <c r="C41" s="186"/>
      <c r="D41" s="191"/>
      <c r="E41" s="191"/>
      <c r="F41" s="191"/>
      <c r="G41" s="179"/>
      <c r="H41" s="97"/>
      <c r="I41" s="97"/>
      <c r="J41" s="97"/>
      <c r="K41" s="97"/>
      <c r="L41" s="97"/>
    </row>
    <row r="42" ht="22" customHeight="1">
      <c r="A42" s="190"/>
      <c r="B42" s="185"/>
      <c r="C42" s="186"/>
      <c r="D42" s="191"/>
      <c r="E42" s="191"/>
      <c r="F42" s="191"/>
      <c r="G42" s="179"/>
      <c r="H42" s="97"/>
      <c r="I42" s="97"/>
      <c r="J42" s="97"/>
      <c r="K42" s="97"/>
      <c r="L42" s="97"/>
    </row>
    <row r="43" ht="23" customHeight="1">
      <c r="A43" t="s" s="192">
        <v>90</v>
      </c>
      <c r="B43" s="193"/>
      <c r="C43" s="193"/>
      <c r="D43" s="194" cm="1">
        <f t="array" ref="D43">SUM(D3:D17)</f>
        <v>218460</v>
      </c>
      <c r="E43" s="193"/>
      <c r="F43" s="193"/>
      <c r="G43" s="97"/>
      <c r="H43" s="97"/>
      <c r="I43" s="97"/>
      <c r="J43" s="97"/>
      <c r="K43" s="97"/>
      <c r="L43" s="97"/>
    </row>
    <row r="44" ht="20.05" customHeight="1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</row>
    <row r="45" ht="20.05" customHeight="1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</row>
    <row r="46" ht="20.05" customHeight="1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</row>
    <row r="47" ht="20.85" customHeight="1">
      <c r="A47" s="97"/>
      <c r="B47" s="97"/>
      <c r="C47" s="97"/>
      <c r="D47" s="97"/>
      <c r="E47" s="97"/>
      <c r="F47" s="97"/>
      <c r="G47" s="97"/>
      <c r="H47" s="117"/>
      <c r="I47" s="117"/>
      <c r="J47" s="117"/>
      <c r="K47" s="117"/>
      <c r="L47" s="117"/>
    </row>
    <row r="48" ht="21.7" customHeight="1">
      <c r="A48" s="97"/>
      <c r="B48" s="97"/>
      <c r="C48" s="97"/>
      <c r="D48" s="97"/>
      <c r="E48" s="97"/>
      <c r="F48" s="97"/>
      <c r="G48" s="195"/>
      <c r="H48" t="s" s="196">
        <v>189</v>
      </c>
      <c r="I48" s="197"/>
      <c r="J48" s="121" cm="1">
        <f t="array" ref="J48">K48*73.75</f>
        <v>221250</v>
      </c>
      <c r="K48" s="198">
        <v>3000</v>
      </c>
      <c r="L48" t="s" s="59">
        <v>190</v>
      </c>
    </row>
    <row r="49" ht="21.7" customHeight="1">
      <c r="A49" s="97"/>
      <c r="B49" s="97"/>
      <c r="C49" s="97"/>
      <c r="D49" s="97"/>
      <c r="E49" s="97"/>
      <c r="F49" s="97"/>
      <c r="G49" s="195"/>
      <c r="H49" s="199"/>
      <c r="I49" s="32"/>
      <c r="J49" s="56"/>
      <c r="K49" s="56"/>
      <c r="L49" s="62"/>
    </row>
    <row r="50" ht="21.7" customHeight="1">
      <c r="A50" s="97"/>
      <c r="B50" s="97"/>
      <c r="C50" s="97"/>
      <c r="D50" s="97"/>
      <c r="E50" s="97"/>
      <c r="F50" s="97"/>
      <c r="G50" s="195"/>
      <c r="H50" t="s" s="200">
        <v>99</v>
      </c>
      <c r="I50" s="32"/>
      <c r="J50" s="126"/>
      <c r="K50" s="201"/>
      <c r="L50" s="127"/>
    </row>
    <row r="51" ht="21.7" customHeight="1">
      <c r="A51" s="97"/>
      <c r="B51" s="97"/>
      <c r="C51" s="97"/>
      <c r="D51" s="97"/>
      <c r="E51" s="97"/>
      <c r="F51" s="97"/>
      <c r="G51" s="195"/>
      <c r="H51" s="199"/>
      <c r="I51" s="32"/>
      <c r="J51" s="56"/>
      <c r="K51" s="56"/>
      <c r="L51" s="62"/>
    </row>
    <row r="52" ht="21.7" customHeight="1">
      <c r="A52" s="97"/>
      <c r="B52" s="97"/>
      <c r="C52" s="97"/>
      <c r="D52" s="97"/>
      <c r="E52" s="97"/>
      <c r="F52" s="97"/>
      <c r="G52" s="195"/>
      <c r="H52" t="s" s="200">
        <v>99</v>
      </c>
      <c r="I52" s="32"/>
      <c r="J52" s="126"/>
      <c r="K52" s="201"/>
      <c r="L52" s="127"/>
    </row>
    <row r="53" ht="20.85" customHeight="1">
      <c r="A53" s="97"/>
      <c r="B53" s="97"/>
      <c r="C53" s="97"/>
      <c r="D53" s="97"/>
      <c r="E53" s="97"/>
      <c r="F53" s="97"/>
      <c r="G53" s="195"/>
      <c r="H53" s="199"/>
      <c r="I53" s="32"/>
      <c r="J53" s="197"/>
      <c r="K53" s="197"/>
      <c r="L53" s="202"/>
    </row>
    <row r="54" ht="20.05" customHeight="1">
      <c r="A54" s="97"/>
      <c r="B54" s="97"/>
      <c r="C54" s="97"/>
      <c r="D54" s="97"/>
      <c r="E54" s="97"/>
      <c r="F54" s="97"/>
      <c r="G54" s="195"/>
      <c r="H54" s="199"/>
      <c r="I54" s="32"/>
      <c r="J54" s="32"/>
      <c r="K54" s="32"/>
      <c r="L54" s="203"/>
    </row>
    <row r="55" ht="20.05" customHeight="1">
      <c r="A55" s="97"/>
      <c r="B55" s="97"/>
      <c r="C55" s="97"/>
      <c r="D55" s="97"/>
      <c r="E55" s="97"/>
      <c r="F55" s="97"/>
      <c r="G55" s="195"/>
      <c r="H55" s="199"/>
      <c r="I55" s="32"/>
      <c r="J55" s="32"/>
      <c r="K55" s="32"/>
      <c r="L55" s="203"/>
    </row>
    <row r="56" ht="20.05" customHeight="1">
      <c r="A56" s="97"/>
      <c r="B56" s="97"/>
      <c r="C56" s="97"/>
      <c r="D56" s="97"/>
      <c r="E56" s="97"/>
      <c r="F56" s="97"/>
      <c r="G56" s="195"/>
      <c r="H56" s="199"/>
      <c r="I56" s="32"/>
      <c r="J56" s="32"/>
      <c r="K56" s="32"/>
      <c r="L56" s="203"/>
    </row>
    <row r="57" ht="20.05" customHeight="1">
      <c r="A57" s="97"/>
      <c r="B57" s="97"/>
      <c r="C57" s="97"/>
      <c r="D57" s="97"/>
      <c r="E57" s="97"/>
      <c r="F57" s="97"/>
      <c r="G57" s="195"/>
      <c r="H57" s="199"/>
      <c r="I57" s="32"/>
      <c r="J57" s="32"/>
      <c r="K57" s="32"/>
      <c r="L57" s="203"/>
    </row>
    <row r="58" ht="20.85" customHeight="1">
      <c r="A58" s="97"/>
      <c r="B58" s="97"/>
      <c r="C58" s="97"/>
      <c r="D58" s="97"/>
      <c r="E58" s="97"/>
      <c r="F58" s="97"/>
      <c r="G58" s="195"/>
      <c r="H58" s="199"/>
      <c r="I58" s="32"/>
      <c r="J58" s="32"/>
      <c r="K58" s="204"/>
      <c r="L58" s="203"/>
    </row>
    <row r="59" ht="21.7" customHeight="1">
      <c r="A59" s="97"/>
      <c r="B59" s="97"/>
      <c r="C59" s="97"/>
      <c r="D59" s="97"/>
      <c r="E59" s="97"/>
      <c r="F59" s="97"/>
      <c r="G59" s="195"/>
      <c r="H59" t="s" s="200">
        <v>191</v>
      </c>
      <c r="I59" s="32"/>
      <c r="J59" s="205" cm="1">
        <f t="array" ref="J59">SUM(J48+J50+J52)</f>
        <v>221250</v>
      </c>
      <c r="K59" s="198" cm="1">
        <f t="array" ref="K59">SUM(K48+K50+K52)</f>
        <v>3000</v>
      </c>
      <c r="L59" s="203"/>
    </row>
    <row r="60" ht="20.85" customHeight="1">
      <c r="A60" s="97"/>
      <c r="B60" s="97"/>
      <c r="C60" s="97"/>
      <c r="D60" s="97"/>
      <c r="E60" s="97"/>
      <c r="F60" s="97"/>
      <c r="G60" s="195"/>
      <c r="H60" s="199"/>
      <c r="I60" s="32"/>
      <c r="J60" s="32"/>
      <c r="K60" s="197"/>
      <c r="L60" s="203"/>
    </row>
    <row r="61" ht="20.85" customHeight="1">
      <c r="A61" s="97"/>
      <c r="B61" s="97"/>
      <c r="C61" s="97"/>
      <c r="D61" s="97"/>
      <c r="E61" s="97"/>
      <c r="F61" s="97"/>
      <c r="G61" s="195"/>
      <c r="H61" s="199"/>
      <c r="I61" s="32"/>
      <c r="J61" s="204"/>
      <c r="K61" s="32"/>
      <c r="L61" s="203"/>
    </row>
    <row r="62" ht="21.7" customHeight="1">
      <c r="A62" s="97"/>
      <c r="B62" s="97"/>
      <c r="C62" s="97"/>
      <c r="D62" s="97"/>
      <c r="E62" s="97"/>
      <c r="F62" s="97"/>
      <c r="G62" s="195"/>
      <c r="H62" t="s" s="200">
        <v>192</v>
      </c>
      <c r="I62" s="32"/>
      <c r="J62" s="206" cm="1">
        <f t="array" ref="J62">D43</f>
        <v>218460</v>
      </c>
      <c r="K62" s="32"/>
      <c r="L62" s="203"/>
    </row>
    <row r="63" ht="21.7" customHeight="1">
      <c r="A63" s="97"/>
      <c r="B63" s="97"/>
      <c r="C63" s="97"/>
      <c r="D63" s="97"/>
      <c r="E63" s="97"/>
      <c r="F63" s="97"/>
      <c r="G63" s="195"/>
      <c r="H63" s="199"/>
      <c r="I63" s="32"/>
      <c r="J63" s="207"/>
      <c r="K63" s="32"/>
      <c r="L63" s="203"/>
    </row>
    <row r="64" ht="21.7" customHeight="1">
      <c r="A64" s="97"/>
      <c r="B64" s="97"/>
      <c r="C64" s="97"/>
      <c r="D64" s="97"/>
      <c r="E64" s="97"/>
      <c r="F64" s="97"/>
      <c r="G64" s="195"/>
      <c r="H64" t="s" s="208">
        <v>102</v>
      </c>
      <c r="I64" s="209"/>
      <c r="J64" s="76" cm="1">
        <f t="array" ref="J64">J59-J62</f>
        <v>2790</v>
      </c>
      <c r="K64" s="204"/>
      <c r="L64" s="209"/>
    </row>
    <row r="65" ht="20.85" customHeight="1">
      <c r="A65" s="97"/>
      <c r="B65" s="97"/>
      <c r="C65" s="97"/>
      <c r="D65" s="97"/>
      <c r="E65" s="97"/>
      <c r="F65" s="97"/>
      <c r="G65" s="97"/>
      <c r="H65" s="148"/>
      <c r="I65" s="148"/>
      <c r="J65" s="148"/>
      <c r="K65" s="148"/>
      <c r="L65" s="148"/>
    </row>
    <row r="66" ht="20.05" customHeight="1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</row>
    <row r="67" ht="20.05" customHeight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</row>
    <row r="68" ht="20.05" customHeight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</row>
    <row r="69" ht="20.05" customHeight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</row>
    <row r="70" ht="20.05" customHeight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</row>
    <row r="71" ht="20.05" customHeight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</row>
    <row r="73" ht="27.65" customHeight="1">
      <c r="M73" t="s" s="168">
        <v>193</v>
      </c>
      <c r="N73" s="168"/>
      <c r="O73" s="168"/>
      <c r="P73" s="168"/>
      <c r="Q73" s="168"/>
      <c r="R73" s="168"/>
    </row>
    <row r="74" ht="23.2" customHeight="1">
      <c r="M74" t="s" s="211">
        <v>1</v>
      </c>
      <c r="N74" t="s" s="211">
        <v>2</v>
      </c>
      <c r="O74" t="s" s="211">
        <v>3</v>
      </c>
      <c r="P74" t="s" s="211">
        <v>181</v>
      </c>
      <c r="Q74" t="s" s="211">
        <v>5</v>
      </c>
      <c r="R74" t="s" s="211">
        <v>194</v>
      </c>
    </row>
    <row r="75" ht="20.25" customHeight="1">
      <c r="M75" t="s" s="212">
        <v>14</v>
      </c>
      <c r="N75" s="213">
        <v>36</v>
      </c>
      <c r="O75" s="214">
        <v>480</v>
      </c>
      <c r="P75" s="214" cm="1">
        <f t="array" ref="P75">O75*N75</f>
        <v>17280</v>
      </c>
      <c r="Q75" s="215">
        <v>46385</v>
      </c>
      <c r="R75" s="216"/>
    </row>
    <row r="76" ht="20.05" customHeight="1">
      <c r="M76" t="s" s="99">
        <v>145</v>
      </c>
      <c r="N76" s="100">
        <v>36</v>
      </c>
      <c r="O76" s="217">
        <v>20</v>
      </c>
      <c r="P76" s="217" cm="1">
        <f t="array" ref="P76">O76*N76</f>
        <v>720</v>
      </c>
      <c r="Q76" s="102">
        <v>46385</v>
      </c>
      <c r="R76" s="103"/>
    </row>
    <row r="77" ht="20.05" customHeight="1">
      <c r="M77" t="s" s="99">
        <v>195</v>
      </c>
      <c r="N77" s="100">
        <v>1</v>
      </c>
      <c r="O77" s="217">
        <v>8000</v>
      </c>
      <c r="P77" s="217" cm="1">
        <f t="array" ref="P77">O77*N77</f>
        <v>8000</v>
      </c>
      <c r="Q77" s="102">
        <v>46385</v>
      </c>
      <c r="R77" s="103"/>
    </row>
    <row r="78" ht="20.05" customHeight="1">
      <c r="M78" t="s" s="218">
        <v>196</v>
      </c>
      <c r="N78" s="219">
        <v>1</v>
      </c>
      <c r="O78" s="220">
        <v>100000</v>
      </c>
      <c r="P78" s="220" cm="1">
        <f t="array" ref="P78">O78*N78</f>
        <v>100000</v>
      </c>
      <c r="Q78" s="221">
        <v>46042</v>
      </c>
      <c r="R78" t="s" s="222">
        <v>197</v>
      </c>
    </row>
    <row r="79" ht="20.05" customHeight="1">
      <c r="M79" t="s" s="218">
        <v>198</v>
      </c>
      <c r="N79" s="219">
        <v>103</v>
      </c>
      <c r="O79" s="220">
        <v>540</v>
      </c>
      <c r="P79" s="220" cm="1">
        <f t="array" ref="P79">O79*N79</f>
        <v>55620</v>
      </c>
      <c r="Q79" s="221">
        <v>46044</v>
      </c>
      <c r="R79" s="223"/>
    </row>
    <row r="80" ht="20.05" customHeight="1">
      <c r="M80" t="s" s="218">
        <v>124</v>
      </c>
      <c r="N80" s="219">
        <v>1</v>
      </c>
      <c r="O80" s="220">
        <v>500</v>
      </c>
      <c r="P80" s="220" cm="1">
        <f t="array" ref="P80">O80*N80</f>
        <v>500</v>
      </c>
      <c r="Q80" s="221">
        <v>46044</v>
      </c>
      <c r="R80" s="223"/>
    </row>
    <row r="81" ht="20.05" customHeight="1">
      <c r="M81" t="s" s="218">
        <v>199</v>
      </c>
      <c r="N81" s="219">
        <v>1</v>
      </c>
      <c r="O81" s="220">
        <v>700</v>
      </c>
      <c r="P81" s="220" cm="1">
        <f t="array" ref="P81">O81*N81</f>
        <v>700</v>
      </c>
      <c r="Q81" s="221">
        <v>46044</v>
      </c>
      <c r="R81" s="223"/>
    </row>
    <row r="82" ht="20.05" customHeight="1">
      <c r="M82" t="s" s="218">
        <v>200</v>
      </c>
      <c r="N82" s="219">
        <v>2</v>
      </c>
      <c r="O82" s="220">
        <v>1000</v>
      </c>
      <c r="P82" s="220" cm="1">
        <f t="array" ref="P82">O82*N82</f>
        <v>2000</v>
      </c>
      <c r="Q82" s="221">
        <v>46045</v>
      </c>
      <c r="R82" s="223"/>
    </row>
    <row r="83" ht="20.05" customHeight="1">
      <c r="M83" t="s" s="218">
        <v>201</v>
      </c>
      <c r="N83" s="219">
        <v>1</v>
      </c>
      <c r="O83" s="220">
        <v>500</v>
      </c>
      <c r="P83" s="220" cm="1">
        <f t="array" ref="P83">O83*N83</f>
        <v>500</v>
      </c>
      <c r="Q83" s="221">
        <v>46045</v>
      </c>
      <c r="R83" s="223"/>
    </row>
    <row r="84" ht="20.05" customHeight="1">
      <c r="M84" t="s" s="218">
        <v>120</v>
      </c>
      <c r="N84" s="219">
        <v>1</v>
      </c>
      <c r="O84" s="220">
        <v>475</v>
      </c>
      <c r="P84" s="220" cm="1">
        <f t="array" ref="P84">O84*N84</f>
        <v>475</v>
      </c>
      <c r="Q84" s="221">
        <v>46045</v>
      </c>
      <c r="R84" s="223"/>
    </row>
    <row r="85" ht="20.05" customHeight="1">
      <c r="M85" t="s" s="218">
        <v>202</v>
      </c>
      <c r="N85" s="219">
        <v>1</v>
      </c>
      <c r="O85" s="220">
        <v>60000</v>
      </c>
      <c r="P85" s="220" cm="1">
        <f t="array" ref="P85">O85*N85</f>
        <v>60000</v>
      </c>
      <c r="Q85" s="221">
        <v>46046</v>
      </c>
      <c r="R85" s="223"/>
    </row>
    <row r="86" ht="20.05" customHeight="1">
      <c r="M86" t="s" s="218">
        <v>14</v>
      </c>
      <c r="N86" s="219">
        <v>100</v>
      </c>
      <c r="O86" s="220">
        <v>465</v>
      </c>
      <c r="P86" s="220" cm="1">
        <f t="array" ref="P86">O86*N86</f>
        <v>46500</v>
      </c>
      <c r="Q86" s="221">
        <v>46049</v>
      </c>
      <c r="R86" s="223"/>
    </row>
    <row r="87" ht="20.05" customHeight="1">
      <c r="M87" t="s" s="218">
        <v>145</v>
      </c>
      <c r="N87" s="219">
        <v>100</v>
      </c>
      <c r="O87" s="220">
        <v>20</v>
      </c>
      <c r="P87" s="220" cm="1">
        <f t="array" ref="P87">O87*N87</f>
        <v>2000</v>
      </c>
      <c r="Q87" s="221">
        <v>46049</v>
      </c>
      <c r="R87" s="223"/>
    </row>
    <row r="88" ht="20.05" customHeight="1">
      <c r="M88" t="s" s="218">
        <v>195</v>
      </c>
      <c r="N88" s="219">
        <v>1</v>
      </c>
      <c r="O88" s="220">
        <v>8000</v>
      </c>
      <c r="P88" s="220" cm="1">
        <f t="array" ref="P88">O88*N88</f>
        <v>8000</v>
      </c>
      <c r="Q88" s="221">
        <v>46049</v>
      </c>
      <c r="R88" s="223"/>
    </row>
    <row r="89" ht="20.05" customHeight="1">
      <c r="M89" t="s" s="224">
        <v>196</v>
      </c>
      <c r="N89" s="225">
        <v>1</v>
      </c>
      <c r="O89" s="226">
        <v>100000</v>
      </c>
      <c r="P89" s="226" cm="1">
        <f t="array" ref="P89">O89*N89</f>
        <v>100000</v>
      </c>
      <c r="Q89" s="227">
        <v>46050</v>
      </c>
      <c r="R89" s="228"/>
    </row>
    <row r="90" ht="20.05" customHeight="1">
      <c r="M90" t="s" s="224">
        <v>203</v>
      </c>
      <c r="N90" s="225">
        <v>1</v>
      </c>
      <c r="O90" s="226">
        <v>700</v>
      </c>
      <c r="P90" s="226" cm="1">
        <f t="array" ref="P90">O90*N90</f>
        <v>700</v>
      </c>
      <c r="Q90" s="227">
        <v>46051</v>
      </c>
      <c r="R90" s="228"/>
    </row>
    <row r="91" ht="20.05" customHeight="1">
      <c r="M91" t="s" s="224">
        <v>120</v>
      </c>
      <c r="N91" s="225">
        <v>1</v>
      </c>
      <c r="O91" s="226">
        <v>500</v>
      </c>
      <c r="P91" s="226" cm="1">
        <f t="array" ref="P91">O91*N91</f>
        <v>500</v>
      </c>
      <c r="Q91" s="227">
        <v>46052</v>
      </c>
      <c r="R91" s="228"/>
    </row>
    <row r="92" ht="20.05" customHeight="1">
      <c r="M92" t="s" s="224">
        <v>204</v>
      </c>
      <c r="N92" s="225">
        <v>1</v>
      </c>
      <c r="O92" s="226">
        <v>95000</v>
      </c>
      <c r="P92" s="226" cm="1">
        <f t="array" ref="P92">O92*N92</f>
        <v>95000</v>
      </c>
      <c r="Q92" s="227">
        <v>46053</v>
      </c>
      <c r="R92" s="228"/>
    </row>
    <row r="93" ht="20.05" customHeight="1">
      <c r="M93" t="s" s="224">
        <v>122</v>
      </c>
      <c r="N93" s="225">
        <v>10</v>
      </c>
      <c r="O93" s="226">
        <v>100</v>
      </c>
      <c r="P93" s="226" cm="1">
        <f t="array" ref="P93">O93*N93</f>
        <v>1000</v>
      </c>
      <c r="Q93" s="227">
        <v>46053</v>
      </c>
      <c r="R93" s="228"/>
    </row>
    <row r="94" ht="20.05" customHeight="1">
      <c r="M94" t="s" s="224">
        <v>205</v>
      </c>
      <c r="N94" s="225">
        <v>1</v>
      </c>
      <c r="O94" s="226">
        <v>5500</v>
      </c>
      <c r="P94" s="226" cm="1">
        <f t="array" ref="P94">O94*N94</f>
        <v>5500</v>
      </c>
      <c r="Q94" s="227">
        <v>46057</v>
      </c>
      <c r="R94" s="228"/>
    </row>
    <row r="95" ht="20.05" customHeight="1">
      <c r="M95" t="s" s="224">
        <v>206</v>
      </c>
      <c r="N95" s="225">
        <v>1</v>
      </c>
      <c r="O95" s="226">
        <v>1250</v>
      </c>
      <c r="P95" s="226" cm="1">
        <f t="array" ref="P95">O95*N95</f>
        <v>1250</v>
      </c>
      <c r="Q95" s="227">
        <v>46060</v>
      </c>
      <c r="R95" t="s" s="229">
        <v>207</v>
      </c>
    </row>
    <row r="96" ht="20.05" customHeight="1">
      <c r="M96" t="s" s="224">
        <v>208</v>
      </c>
      <c r="N96" s="225">
        <v>250</v>
      </c>
      <c r="O96" s="226">
        <v>330</v>
      </c>
      <c r="P96" s="226" cm="1">
        <f t="array" ref="P96">O96*N96</f>
        <v>82500</v>
      </c>
      <c r="Q96" s="227">
        <v>46061</v>
      </c>
      <c r="R96" t="s" s="229">
        <v>197</v>
      </c>
    </row>
    <row r="97" ht="20.05" customHeight="1">
      <c r="M97" t="s" s="224">
        <v>209</v>
      </c>
      <c r="N97" s="225">
        <v>200</v>
      </c>
      <c r="O97" s="226">
        <v>130</v>
      </c>
      <c r="P97" s="226" cm="1">
        <f t="array" ref="P97">O97*N97</f>
        <v>26000</v>
      </c>
      <c r="Q97" s="227">
        <v>46061</v>
      </c>
      <c r="R97" s="228"/>
    </row>
    <row r="98" ht="20.05" customHeight="1">
      <c r="M98" t="s" s="224">
        <v>124</v>
      </c>
      <c r="N98" s="225">
        <v>3</v>
      </c>
      <c r="O98" s="226">
        <v>500</v>
      </c>
      <c r="P98" s="226" cm="1">
        <f t="array" ref="P98">O98*N98</f>
        <v>1500</v>
      </c>
      <c r="Q98" s="227">
        <v>46061</v>
      </c>
      <c r="R98" s="228"/>
    </row>
    <row r="99" ht="20.05" customHeight="1">
      <c r="M99" t="s" s="224">
        <v>210</v>
      </c>
      <c r="N99" s="225">
        <v>1</v>
      </c>
      <c r="O99" s="226">
        <v>1800</v>
      </c>
      <c r="P99" s="226" cm="1">
        <f t="array" ref="P99">O99*N99</f>
        <v>1800</v>
      </c>
      <c r="Q99" s="227">
        <v>46061</v>
      </c>
      <c r="R99" s="228"/>
    </row>
    <row r="100" ht="20.05" customHeight="1">
      <c r="M100" t="s" s="230">
        <v>196</v>
      </c>
      <c r="N100" s="94">
        <v>1</v>
      </c>
      <c r="O100" s="231">
        <v>100000</v>
      </c>
      <c r="P100" s="231" cm="1">
        <f t="array" ref="P100">O100*N100</f>
        <v>100000</v>
      </c>
      <c r="Q100" s="105">
        <v>46062</v>
      </c>
      <c r="R100" s="97"/>
    </row>
    <row r="101" ht="20.05" customHeight="1">
      <c r="M101" t="s" s="230">
        <v>211</v>
      </c>
      <c r="N101" s="94">
        <v>1</v>
      </c>
      <c r="O101" s="231">
        <v>2000</v>
      </c>
      <c r="P101" s="231" cm="1">
        <f t="array" ref="P101">O101*N101</f>
        <v>2000</v>
      </c>
      <c r="Q101" s="105">
        <v>46062</v>
      </c>
      <c r="R101" s="97"/>
    </row>
    <row r="102" ht="20.05" customHeight="1">
      <c r="M102" t="s" s="230">
        <v>122</v>
      </c>
      <c r="N102" s="94">
        <v>7</v>
      </c>
      <c r="O102" s="231">
        <v>101</v>
      </c>
      <c r="P102" s="231" cm="1">
        <f t="array" ref="P102">O102*N102</f>
        <v>707</v>
      </c>
      <c r="Q102" s="105">
        <v>46065</v>
      </c>
      <c r="R102" s="97"/>
    </row>
    <row r="103" ht="20.05" customHeight="1">
      <c r="M103" t="s" s="230">
        <v>195</v>
      </c>
      <c r="N103" s="94">
        <v>1</v>
      </c>
      <c r="O103" s="231">
        <v>8000</v>
      </c>
      <c r="P103" s="231" cm="1">
        <f t="array" ref="P103">O103*N103</f>
        <v>8000</v>
      </c>
      <c r="Q103" s="105">
        <v>46066</v>
      </c>
      <c r="R103" s="97"/>
    </row>
    <row r="104" ht="20.05" customHeight="1">
      <c r="M104" t="s" s="230">
        <v>206</v>
      </c>
      <c r="N104" s="94">
        <v>1</v>
      </c>
      <c r="O104" s="231">
        <v>1900</v>
      </c>
      <c r="P104" s="231" cm="1">
        <f t="array" ref="P104">O104*N104</f>
        <v>1900</v>
      </c>
      <c r="Q104" s="105">
        <v>46067</v>
      </c>
      <c r="R104" s="97"/>
    </row>
    <row r="105" ht="20.05" customHeight="1">
      <c r="M105" t="s" s="230">
        <v>14</v>
      </c>
      <c r="N105" s="94">
        <v>50</v>
      </c>
      <c r="O105" s="231">
        <v>450</v>
      </c>
      <c r="P105" s="231" cm="1">
        <f t="array" ref="P105">O105*N105</f>
        <v>22500</v>
      </c>
      <c r="Q105" s="105">
        <v>46071</v>
      </c>
      <c r="R105" s="97"/>
    </row>
    <row r="106" ht="20.05" customHeight="1">
      <c r="M106" t="s" s="230">
        <v>145</v>
      </c>
      <c r="N106" s="94">
        <v>50</v>
      </c>
      <c r="O106" s="231">
        <v>20</v>
      </c>
      <c r="P106" s="231" cm="1">
        <f t="array" ref="P106">O106*N106</f>
        <v>1000</v>
      </c>
      <c r="Q106" s="105">
        <v>46071</v>
      </c>
      <c r="R106" s="97"/>
    </row>
    <row r="107" ht="20.05" customHeight="1">
      <c r="M107" t="s" s="230">
        <v>212</v>
      </c>
      <c r="N107" s="94">
        <v>4</v>
      </c>
      <c r="O107" s="231">
        <v>325</v>
      </c>
      <c r="P107" s="231" cm="1">
        <f t="array" ref="P107">O107*N107</f>
        <v>1300</v>
      </c>
      <c r="Q107" s="105">
        <v>46071</v>
      </c>
      <c r="R107" s="97"/>
    </row>
    <row r="108" ht="20.05" customHeight="1">
      <c r="M108" t="s" s="230">
        <v>213</v>
      </c>
      <c r="N108" s="94">
        <v>4</v>
      </c>
      <c r="O108" s="231">
        <v>100</v>
      </c>
      <c r="P108" s="231" cm="1">
        <f t="array" ref="P108">O108*N108</f>
        <v>400</v>
      </c>
      <c r="Q108" s="105">
        <v>46071</v>
      </c>
      <c r="R108" s="97"/>
    </row>
    <row r="109" ht="20.05" customHeight="1">
      <c r="M109" t="s" s="230">
        <v>120</v>
      </c>
      <c r="N109" s="94">
        <v>1</v>
      </c>
      <c r="O109" s="231">
        <v>450</v>
      </c>
      <c r="P109" s="231" cm="1">
        <f t="array" ref="P109">O109*N109</f>
        <v>450</v>
      </c>
      <c r="Q109" s="105">
        <v>46074</v>
      </c>
      <c r="R109" s="97"/>
    </row>
    <row r="110" ht="20.05" customHeight="1">
      <c r="M110" t="s" s="230">
        <v>214</v>
      </c>
      <c r="N110" s="94">
        <v>1</v>
      </c>
      <c r="O110" s="231">
        <v>6000</v>
      </c>
      <c r="P110" s="231" cm="1">
        <f t="array" ref="P110">O110*N110</f>
        <v>6000</v>
      </c>
      <c r="Q110" s="105">
        <v>46107</v>
      </c>
      <c r="R110" s="97"/>
    </row>
    <row r="111" ht="20.05" customHeight="1">
      <c r="M111" t="s" s="230">
        <v>122</v>
      </c>
      <c r="N111" s="94">
        <v>9</v>
      </c>
      <c r="O111" s="231">
        <v>100</v>
      </c>
      <c r="P111" s="231" cm="1">
        <f t="array" ref="P111">O111*N111</f>
        <v>900</v>
      </c>
      <c r="Q111" s="105">
        <v>46083</v>
      </c>
      <c r="R111" s="97"/>
    </row>
    <row r="112" ht="20.05" customHeight="1">
      <c r="M112" t="s" s="230">
        <v>109</v>
      </c>
      <c r="N112" s="94">
        <v>15</v>
      </c>
      <c r="O112" s="231">
        <v>120</v>
      </c>
      <c r="P112" s="231" cm="1">
        <f t="array" ref="P112">O112*N112</f>
        <v>1800</v>
      </c>
      <c r="Q112" s="105">
        <v>46083</v>
      </c>
      <c r="R112" s="97"/>
    </row>
    <row r="113" ht="20.05" customHeight="1">
      <c r="M113" t="s" s="230">
        <v>210</v>
      </c>
      <c r="N113" s="94">
        <v>1</v>
      </c>
      <c r="O113" s="231">
        <v>300</v>
      </c>
      <c r="P113" s="231" cm="1">
        <f t="array" ref="P113">O113*N113</f>
        <v>300</v>
      </c>
      <c r="Q113" s="105">
        <v>46083</v>
      </c>
      <c r="R113" s="97"/>
    </row>
    <row r="114" ht="20.05" customHeight="1">
      <c r="M114" t="s" s="230">
        <v>14</v>
      </c>
      <c r="N114" s="94">
        <v>50</v>
      </c>
      <c r="O114" s="231">
        <v>450</v>
      </c>
      <c r="P114" s="231" cm="1">
        <f t="array" ref="P114">O114*N114</f>
        <v>22500</v>
      </c>
      <c r="Q114" s="105">
        <v>46084</v>
      </c>
      <c r="R114" s="97"/>
    </row>
    <row r="115" ht="20.05" customHeight="1">
      <c r="M115" t="s" s="230">
        <v>145</v>
      </c>
      <c r="N115" s="94">
        <v>50</v>
      </c>
      <c r="O115" s="231">
        <v>22</v>
      </c>
      <c r="P115" s="231" cm="1">
        <f t="array" ref="P115">O115*N115</f>
        <v>1100</v>
      </c>
      <c r="Q115" s="105">
        <v>46084</v>
      </c>
      <c r="R115" s="97"/>
    </row>
    <row r="116" ht="20.05" customHeight="1">
      <c r="M116" t="s" s="230">
        <v>195</v>
      </c>
      <c r="N116" s="94">
        <v>1</v>
      </c>
      <c r="O116" s="231">
        <v>8000</v>
      </c>
      <c r="P116" s="231" cm="1">
        <f t="array" ref="P116">O116*N116</f>
        <v>8000</v>
      </c>
      <c r="Q116" s="105">
        <v>46084</v>
      </c>
      <c r="R116" s="97"/>
    </row>
    <row r="117" ht="20.05" customHeight="1">
      <c r="M117" t="s" s="230">
        <v>120</v>
      </c>
      <c r="N117" s="94">
        <v>1</v>
      </c>
      <c r="O117" s="231">
        <v>400</v>
      </c>
      <c r="P117" s="231" cm="1">
        <f t="array" ref="P117">O117*N117</f>
        <v>400</v>
      </c>
      <c r="Q117" s="105">
        <v>46087</v>
      </c>
      <c r="R117" s="97"/>
    </row>
    <row r="118" ht="20.05" customHeight="1">
      <c r="M118" t="s" s="230">
        <v>215</v>
      </c>
      <c r="N118" s="94">
        <v>1</v>
      </c>
      <c r="O118" s="231">
        <v>5500</v>
      </c>
      <c r="P118" s="231" cm="1">
        <f t="array" ref="P118">O118*N118</f>
        <v>5500</v>
      </c>
      <c r="Q118" s="105">
        <v>46087</v>
      </c>
      <c r="R118" s="97"/>
    </row>
    <row r="119" ht="20.05" customHeight="1">
      <c r="M119" t="s" s="230">
        <v>14</v>
      </c>
      <c r="N119" s="94">
        <v>25</v>
      </c>
      <c r="O119" s="231">
        <v>450</v>
      </c>
      <c r="P119" s="231" cm="1">
        <f t="array" ref="P119">O119*N119</f>
        <v>11250</v>
      </c>
      <c r="Q119" s="105">
        <v>46094</v>
      </c>
      <c r="R119" s="97"/>
    </row>
    <row r="120" ht="20.05" customHeight="1">
      <c r="M120" t="s" s="230">
        <v>145</v>
      </c>
      <c r="N120" s="94">
        <v>25</v>
      </c>
      <c r="O120" s="231">
        <v>20</v>
      </c>
      <c r="P120" s="231" cm="1">
        <f t="array" ref="P120">O120*N120</f>
        <v>500</v>
      </c>
      <c r="Q120" s="105">
        <v>46094</v>
      </c>
      <c r="R120" s="97"/>
    </row>
    <row r="121" ht="20.05" customHeight="1">
      <c r="M121" t="s" s="230">
        <v>120</v>
      </c>
      <c r="N121" s="94">
        <v>1</v>
      </c>
      <c r="O121" s="231">
        <v>400</v>
      </c>
      <c r="P121" s="231" cm="1">
        <f t="array" ref="P121">O121*N121</f>
        <v>400</v>
      </c>
      <c r="Q121" s="105">
        <v>46094</v>
      </c>
      <c r="R121" s="97"/>
    </row>
    <row r="122" ht="20.05" customHeight="1">
      <c r="M122" t="s" s="230">
        <v>216</v>
      </c>
      <c r="N122" s="94">
        <v>6</v>
      </c>
      <c r="O122" s="231">
        <v>1500</v>
      </c>
      <c r="P122" s="231" cm="1">
        <f t="array" ref="P122">O122*N122</f>
        <v>9000</v>
      </c>
      <c r="Q122" s="105">
        <v>46096</v>
      </c>
      <c r="R122" s="97"/>
    </row>
    <row r="123" ht="20.05" customHeight="1">
      <c r="M123" t="s" s="230">
        <v>196</v>
      </c>
      <c r="N123" s="94">
        <v>1</v>
      </c>
      <c r="O123" s="231">
        <v>20000</v>
      </c>
      <c r="P123" s="231" cm="1">
        <f t="array" ref="P123">O123*N123</f>
        <v>20000</v>
      </c>
      <c r="Q123" s="105">
        <v>46098</v>
      </c>
      <c r="R123" s="97"/>
    </row>
    <row r="124" ht="20.05" customHeight="1">
      <c r="M124" t="s" s="230">
        <v>217</v>
      </c>
      <c r="N124" s="94">
        <v>1</v>
      </c>
      <c r="O124" s="231">
        <v>140</v>
      </c>
      <c r="P124" s="231" cm="1">
        <f t="array" ref="P124">O124*N124</f>
        <v>140</v>
      </c>
      <c r="Q124" s="105">
        <v>46098</v>
      </c>
      <c r="R124" t="s" s="232">
        <v>218</v>
      </c>
    </row>
    <row r="125" ht="20.05" customHeight="1">
      <c r="M125" t="s" s="230">
        <v>14</v>
      </c>
      <c r="N125" s="94">
        <v>25</v>
      </c>
      <c r="O125" s="231">
        <v>450</v>
      </c>
      <c r="P125" s="231" cm="1">
        <f t="array" ref="P125">O125*N125</f>
        <v>11250</v>
      </c>
      <c r="Q125" s="105">
        <v>46098</v>
      </c>
      <c r="R125" t="s" s="232">
        <v>219</v>
      </c>
    </row>
    <row r="126" ht="20.05" customHeight="1">
      <c r="M126" t="s" s="230">
        <v>145</v>
      </c>
      <c r="N126" s="94">
        <v>25</v>
      </c>
      <c r="O126" s="231">
        <v>20</v>
      </c>
      <c r="P126" s="231" cm="1">
        <f t="array" ref="P126">O126*N126</f>
        <v>500</v>
      </c>
      <c r="Q126" s="105">
        <v>46098</v>
      </c>
      <c r="R126" s="97"/>
    </row>
    <row r="127" ht="20.05" customHeight="1">
      <c r="M127" t="s" s="230">
        <v>220</v>
      </c>
      <c r="N127" s="94">
        <v>3</v>
      </c>
      <c r="O127" s="231">
        <v>1000</v>
      </c>
      <c r="P127" s="231" cm="1">
        <f t="array" ref="P127">O127*N127</f>
        <v>3000</v>
      </c>
      <c r="Q127" s="105">
        <v>46100</v>
      </c>
      <c r="R127" s="97"/>
    </row>
    <row r="128" ht="20.05" customHeight="1">
      <c r="M128" t="s" s="230">
        <v>221</v>
      </c>
      <c r="N128" s="94">
        <v>1</v>
      </c>
      <c r="O128" s="231">
        <v>1000</v>
      </c>
      <c r="P128" s="231" cm="1">
        <f t="array" ref="P128">O128*N128</f>
        <v>1000</v>
      </c>
      <c r="Q128" s="105">
        <v>46100</v>
      </c>
      <c r="R128" s="97"/>
    </row>
    <row r="129" ht="20.05" customHeight="1">
      <c r="M129" t="s" s="230">
        <v>222</v>
      </c>
      <c r="N129" s="94">
        <v>1</v>
      </c>
      <c r="O129" s="231">
        <v>700</v>
      </c>
      <c r="P129" s="231" cm="1">
        <f t="array" ref="P129">O129*N129</f>
        <v>700</v>
      </c>
      <c r="Q129" s="105">
        <v>46107</v>
      </c>
      <c r="R129" s="97"/>
    </row>
    <row r="130" ht="20.05" customHeight="1">
      <c r="M130" t="s" s="230">
        <v>223</v>
      </c>
      <c r="N130" s="94">
        <v>5</v>
      </c>
      <c r="O130" s="231">
        <v>350</v>
      </c>
      <c r="P130" s="231" cm="1">
        <f t="array" ref="P130">O130*N130</f>
        <v>1750</v>
      </c>
      <c r="Q130" s="105">
        <v>46109</v>
      </c>
      <c r="R130" s="97"/>
    </row>
    <row r="131" ht="20.05" customHeight="1">
      <c r="M131" t="s" s="230">
        <v>213</v>
      </c>
      <c r="N131" s="94">
        <v>1</v>
      </c>
      <c r="O131" s="231">
        <v>400</v>
      </c>
      <c r="P131" s="231" cm="1">
        <f t="array" ref="P131">O131*N131</f>
        <v>400</v>
      </c>
      <c r="Q131" s="105">
        <v>46109</v>
      </c>
      <c r="R131" s="97"/>
    </row>
    <row r="132" ht="20.05" customHeight="1">
      <c r="M132" t="s" s="230">
        <v>120</v>
      </c>
      <c r="N132" s="94">
        <v>1</v>
      </c>
      <c r="O132" s="231">
        <v>400</v>
      </c>
      <c r="P132" s="231" cm="1">
        <f t="array" ref="P132">O132*N132</f>
        <v>400</v>
      </c>
      <c r="Q132" s="105">
        <v>46109</v>
      </c>
      <c r="R132" s="97"/>
    </row>
    <row r="133" ht="20.05" customHeight="1">
      <c r="M133" t="s" s="230">
        <v>224</v>
      </c>
      <c r="N133" s="94">
        <v>1</v>
      </c>
      <c r="O133" s="231">
        <v>1000</v>
      </c>
      <c r="P133" s="231" cm="1">
        <f t="array" ref="P133">O133*N133</f>
        <v>1000</v>
      </c>
      <c r="Q133" s="105">
        <v>46110</v>
      </c>
      <c r="R133" s="97"/>
    </row>
    <row r="134" ht="20.05" customHeight="1">
      <c r="M134" t="s" s="230">
        <v>225</v>
      </c>
      <c r="N134" s="94">
        <v>6</v>
      </c>
      <c r="O134" s="231">
        <v>150</v>
      </c>
      <c r="P134" s="231" cm="1">
        <f t="array" ref="P134">O134*N134</f>
        <v>900</v>
      </c>
      <c r="Q134" s="105">
        <v>46111</v>
      </c>
      <c r="R134" s="97"/>
    </row>
    <row r="135" ht="20.05" customHeight="1">
      <c r="M135" t="s" s="230">
        <v>226</v>
      </c>
      <c r="N135" s="94">
        <v>2</v>
      </c>
      <c r="O135" s="231">
        <v>200</v>
      </c>
      <c r="P135" s="231" cm="1">
        <f t="array" ref="P135">O135*N135</f>
        <v>400</v>
      </c>
      <c r="Q135" s="105">
        <v>46111</v>
      </c>
      <c r="R135" s="97"/>
    </row>
    <row r="136" ht="20.05" customHeight="1">
      <c r="M136" t="s" s="230">
        <v>122</v>
      </c>
      <c r="N136" s="94">
        <v>2</v>
      </c>
      <c r="O136" s="231">
        <v>100</v>
      </c>
      <c r="P136" s="231" cm="1">
        <f t="array" ref="P136">O136*N136</f>
        <v>200</v>
      </c>
      <c r="Q136" s="105">
        <v>46111</v>
      </c>
      <c r="R136" s="97"/>
    </row>
    <row r="137" ht="20.05" customHeight="1">
      <c r="M137" t="s" s="230">
        <v>215</v>
      </c>
      <c r="N137" s="94">
        <v>1</v>
      </c>
      <c r="O137" s="231">
        <v>5500</v>
      </c>
      <c r="P137" s="231" cm="1">
        <f t="array" ref="P137">O137*N137</f>
        <v>5500</v>
      </c>
      <c r="Q137" s="105">
        <v>46113</v>
      </c>
      <c r="R137" s="97"/>
    </row>
    <row r="138" ht="20.05" customHeight="1">
      <c r="M138" t="s" s="230">
        <v>227</v>
      </c>
      <c r="N138" s="94">
        <v>6</v>
      </c>
      <c r="O138" s="231">
        <v>25</v>
      </c>
      <c r="P138" s="231" cm="1">
        <f t="array" ref="P138">O138*N138</f>
        <v>150</v>
      </c>
      <c r="Q138" s="105">
        <v>46123</v>
      </c>
      <c r="R138" s="97"/>
    </row>
    <row r="139" ht="20.05" customHeight="1">
      <c r="M139" t="s" s="230">
        <v>225</v>
      </c>
      <c r="N139" s="94">
        <v>1</v>
      </c>
      <c r="O139" s="231">
        <v>1200</v>
      </c>
      <c r="P139" s="231" cm="1">
        <f t="array" ref="P139">O139*N139</f>
        <v>1200</v>
      </c>
      <c r="Q139" s="105">
        <v>46123</v>
      </c>
      <c r="R139" s="97"/>
    </row>
    <row r="140" ht="20.05" customHeight="1">
      <c r="M140" t="s" s="230">
        <v>109</v>
      </c>
      <c r="N140" s="94">
        <v>2</v>
      </c>
      <c r="O140" s="231">
        <v>120</v>
      </c>
      <c r="P140" s="231" cm="1">
        <f t="array" ref="P140">O140*N140</f>
        <v>240</v>
      </c>
      <c r="Q140" s="105">
        <v>46123</v>
      </c>
      <c r="R140" s="231" cm="1">
        <f t="array" ref="R140">SUM(P125:P137)</f>
        <v>27000</v>
      </c>
    </row>
    <row r="141" ht="20.05" customHeight="1">
      <c r="M141" t="s" s="230">
        <v>228</v>
      </c>
      <c r="N141" s="94">
        <v>1</v>
      </c>
      <c r="O141" s="231">
        <v>500</v>
      </c>
      <c r="P141" s="231" cm="1">
        <f t="array" ref="P141">O141*N141</f>
        <v>500</v>
      </c>
      <c r="Q141" s="105">
        <v>46123</v>
      </c>
      <c r="R141" s="97"/>
    </row>
    <row r="142" ht="20.05" customHeight="1">
      <c r="M142" t="s" s="230">
        <v>220</v>
      </c>
      <c r="N142" s="94">
        <v>1</v>
      </c>
      <c r="O142" s="231">
        <v>1000</v>
      </c>
      <c r="P142" s="231" cm="1">
        <f t="array" ref="P142">O142*N142</f>
        <v>1000</v>
      </c>
      <c r="Q142" s="105">
        <v>46126</v>
      </c>
      <c r="R142" s="95" cm="1">
        <f t="array" ref="R142">SUM(D18:D25)</f>
        <v>106580</v>
      </c>
    </row>
    <row r="143" ht="20.05" customHeight="1">
      <c r="M143" t="s" s="230">
        <v>221</v>
      </c>
      <c r="N143" s="94">
        <v>2</v>
      </c>
      <c r="O143" s="231">
        <v>300</v>
      </c>
      <c r="P143" s="231" cm="1">
        <f t="array" ref="P143">O143*N143</f>
        <v>600</v>
      </c>
      <c r="Q143" s="105">
        <v>46126</v>
      </c>
      <c r="R143" s="97"/>
    </row>
    <row r="144" ht="20.05" customHeight="1">
      <c r="M144" t="s" s="230">
        <v>196</v>
      </c>
      <c r="N144" s="94">
        <v>1</v>
      </c>
      <c r="O144" s="231">
        <v>50000</v>
      </c>
      <c r="P144" s="231" cm="1">
        <f t="array" ref="P144">O144*N144</f>
        <v>50000</v>
      </c>
      <c r="Q144" s="97"/>
      <c r="R144" s="231" cm="1">
        <f t="array" ref="R144">R140+R142</f>
        <v>133580</v>
      </c>
    </row>
    <row r="145" ht="20.05" customHeight="1">
      <c r="M145" t="s" s="230">
        <v>229</v>
      </c>
      <c r="N145" s="94">
        <v>1</v>
      </c>
      <c r="O145" s="231">
        <v>647</v>
      </c>
      <c r="P145" s="231" cm="1">
        <f t="array" ref="P145">O145*N145</f>
        <v>647</v>
      </c>
      <c r="Q145" s="105">
        <v>46141</v>
      </c>
      <c r="R145" s="97"/>
    </row>
    <row r="146" ht="20.05" customHeight="1">
      <c r="M146" s="233"/>
      <c r="N146" s="107"/>
      <c r="O146" s="231"/>
      <c r="P146" s="97"/>
      <c r="Q146" s="97"/>
      <c r="R146" s="97"/>
    </row>
    <row r="147" ht="20.05" customHeight="1">
      <c r="M147" s="233"/>
      <c r="N147" s="107"/>
      <c r="O147" s="231"/>
      <c r="P147" s="97"/>
      <c r="Q147" s="97"/>
      <c r="R147" s="97"/>
    </row>
    <row r="148" ht="20.05" customHeight="1">
      <c r="M148" s="233"/>
      <c r="N148" s="107"/>
      <c r="O148" s="231"/>
      <c r="P148" s="97"/>
      <c r="Q148" s="97"/>
      <c r="R148" s="97"/>
    </row>
    <row r="149" ht="23.95" customHeight="1">
      <c r="M149" t="s" s="234">
        <v>167</v>
      </c>
      <c r="N149" s="107"/>
      <c r="O149" s="231"/>
      <c r="P149" s="235" cm="1">
        <f t="array" ref="P149">SUM(P75:P145)</f>
        <v>925429</v>
      </c>
      <c r="Q149" s="97"/>
      <c r="R149" s="97"/>
    </row>
    <row r="151" ht="27.65" customHeight="1">
      <c r="S151" t="s" s="168">
        <v>230</v>
      </c>
      <c r="T151" s="168"/>
      <c r="U151" s="168"/>
      <c r="V151" s="168"/>
      <c r="W151" s="168"/>
      <c r="X151" s="168"/>
    </row>
    <row r="152" ht="20.25" customHeight="1">
      <c r="S152" t="s" s="153">
        <v>231</v>
      </c>
      <c r="T152" t="s" s="153">
        <v>232</v>
      </c>
      <c r="U152" t="s" s="153">
        <v>233</v>
      </c>
      <c r="V152" t="s" s="153">
        <v>234</v>
      </c>
      <c r="W152" t="s" s="153">
        <v>235</v>
      </c>
      <c r="X152" s="171"/>
    </row>
    <row r="153" ht="20.25" customHeight="1">
      <c r="S153" t="s" s="237">
        <v>236</v>
      </c>
      <c r="T153" s="238">
        <v>46385</v>
      </c>
      <c r="U153" s="239">
        <v>8000</v>
      </c>
      <c r="V153" s="240"/>
      <c r="W153" s="178"/>
      <c r="X153" s="178"/>
    </row>
    <row r="154" ht="20.05" customHeight="1">
      <c r="S154" t="s" s="230">
        <v>237</v>
      </c>
      <c r="T154" s="241">
        <v>46385</v>
      </c>
      <c r="U154" s="231">
        <v>18000</v>
      </c>
      <c r="V154" s="242"/>
      <c r="W154" s="97"/>
      <c r="X154" s="97"/>
    </row>
    <row r="155" ht="20.05" customHeight="1">
      <c r="S155" t="s" s="230">
        <v>238</v>
      </c>
      <c r="T155" s="243">
        <v>46042</v>
      </c>
      <c r="U155" s="231" cm="1">
        <f t="array" ref="U155">V155*73.5</f>
        <v>220500</v>
      </c>
      <c r="V155" s="242">
        <v>3000</v>
      </c>
      <c r="W155" t="s" s="232">
        <v>93</v>
      </c>
      <c r="X155" s="97"/>
    </row>
    <row r="156" ht="20.05" customHeight="1">
      <c r="S156" t="s" s="230">
        <v>239</v>
      </c>
      <c r="T156" s="243">
        <v>46044</v>
      </c>
      <c r="U156" s="231">
        <v>2000</v>
      </c>
      <c r="V156" s="242">
        <v>27</v>
      </c>
      <c r="W156" t="s" s="232">
        <v>98</v>
      </c>
      <c r="X156" s="97"/>
    </row>
    <row r="157" ht="20.05" customHeight="1">
      <c r="S157" t="s" s="230">
        <v>240</v>
      </c>
      <c r="T157" s="243">
        <v>46047</v>
      </c>
      <c r="U157" s="231" cm="1">
        <f t="array" ref="U157">V157*73.75</f>
        <v>221250</v>
      </c>
      <c r="V157" s="242">
        <v>3000</v>
      </c>
      <c r="W157" t="s" s="232">
        <v>190</v>
      </c>
      <c r="X157" s="97"/>
    </row>
    <row r="158" ht="20.05" customHeight="1">
      <c r="S158" t="s" s="230">
        <v>241</v>
      </c>
      <c r="T158" s="243">
        <v>46050</v>
      </c>
      <c r="U158" s="231" cm="1">
        <f t="array" ref="U158">V158*73.75</f>
        <v>73750</v>
      </c>
      <c r="V158" s="242">
        <v>1000</v>
      </c>
      <c r="W158" t="s" s="232">
        <v>190</v>
      </c>
      <c r="X158" s="97"/>
    </row>
    <row r="159" ht="20.05" customHeight="1">
      <c r="S159" t="s" s="230">
        <v>240</v>
      </c>
      <c r="T159" s="243">
        <v>46060</v>
      </c>
      <c r="U159" s="231">
        <v>295000</v>
      </c>
      <c r="V159" s="242">
        <v>4000</v>
      </c>
      <c r="W159" t="s" s="232">
        <v>190</v>
      </c>
      <c r="X159" s="97"/>
    </row>
    <row r="160" ht="20.05" customHeight="1">
      <c r="S160" t="s" s="230">
        <v>242</v>
      </c>
      <c r="T160" s="243">
        <v>46097</v>
      </c>
      <c r="U160" s="231">
        <v>80000</v>
      </c>
      <c r="V160" s="242">
        <v>1151.08</v>
      </c>
      <c r="W160" t="s" s="232">
        <v>243</v>
      </c>
      <c r="X160" s="97"/>
    </row>
    <row r="161" ht="20.05" customHeight="1">
      <c r="S161" t="s" s="230">
        <v>242</v>
      </c>
      <c r="T161" s="243">
        <v>46111</v>
      </c>
      <c r="U161" s="231">
        <v>90000</v>
      </c>
      <c r="V161" s="242">
        <v>1294.96</v>
      </c>
      <c r="W161" t="s" s="232">
        <v>243</v>
      </c>
      <c r="X161" s="97"/>
    </row>
    <row r="162" ht="20.05" customHeight="1">
      <c r="S162" t="s" s="230">
        <v>244</v>
      </c>
      <c r="T162" s="243">
        <v>46124</v>
      </c>
      <c r="U162" s="231">
        <v>82869</v>
      </c>
      <c r="V162" s="242">
        <v>1201</v>
      </c>
      <c r="W162" t="s" s="232">
        <v>245</v>
      </c>
      <c r="X162" s="97"/>
    </row>
    <row r="163" ht="20.05" customHeight="1">
      <c r="S163" t="s" s="230">
        <v>242</v>
      </c>
      <c r="T163" s="243">
        <v>46138</v>
      </c>
      <c r="U163" s="231">
        <v>17000</v>
      </c>
      <c r="V163" s="242">
        <v>244.6</v>
      </c>
      <c r="W163" s="244">
        <v>69.5</v>
      </c>
      <c r="X163" s="97"/>
    </row>
    <row r="164" ht="21.35" customHeight="1">
      <c r="S164" s="245"/>
      <c r="T164" s="246"/>
      <c r="U164" s="247"/>
      <c r="V164" s="248"/>
      <c r="W164" s="97"/>
      <c r="X164" s="97"/>
    </row>
    <row r="165" ht="26.6" customHeight="1">
      <c r="S165" t="s" s="249">
        <v>167</v>
      </c>
      <c r="T165" s="250"/>
      <c r="U165" s="251" cm="1">
        <f t="array" ref="U165">SUM(U153:U163)</f>
        <v>1108369</v>
      </c>
      <c r="V165" s="252" cm="1">
        <f t="array" ref="V165">SUM(V155:V162)</f>
        <v>14674.04</v>
      </c>
      <c r="W165" s="253"/>
      <c r="X165" s="97"/>
    </row>
    <row r="166" ht="21.35" customHeight="1">
      <c r="S166" s="254"/>
      <c r="T166" s="255"/>
      <c r="U166" s="256"/>
      <c r="V166" s="257"/>
      <c r="W166" s="97"/>
      <c r="X166" s="97"/>
    </row>
    <row r="167" ht="23" customHeight="1">
      <c r="S167" t="s" s="258">
        <v>246</v>
      </c>
      <c r="T167" s="259">
        <v>46143</v>
      </c>
      <c r="U167" s="114">
        <v>6940</v>
      </c>
      <c r="V167" s="260"/>
      <c r="W167" s="261"/>
      <c r="X167" s="261"/>
    </row>
    <row r="168" ht="21.35" customHeight="1">
      <c r="S168" s="245"/>
      <c r="T168" s="246"/>
      <c r="U168" s="247"/>
      <c r="V168" s="242"/>
      <c r="W168" s="97"/>
      <c r="X168" s="97"/>
    </row>
    <row r="169" ht="26.6" customHeight="1">
      <c r="S169" t="s" s="249">
        <v>247</v>
      </c>
      <c r="T169" s="250"/>
      <c r="U169" s="262" cm="1">
        <f t="array" ref="U169">P149+SUM(D18:D37)</f>
        <v>1101429</v>
      </c>
      <c r="V169" s="263"/>
      <c r="W169" s="97"/>
      <c r="X169" s="97"/>
    </row>
    <row r="170" ht="22.7" customHeight="1">
      <c r="S170" s="264"/>
      <c r="T170" s="250"/>
      <c r="U170" s="265"/>
      <c r="V170" s="242"/>
      <c r="W170" s="97"/>
      <c r="X170" s="97"/>
    </row>
    <row r="171" ht="26.6" customHeight="1">
      <c r="S171" t="s" s="249">
        <v>248</v>
      </c>
      <c r="T171" s="250"/>
      <c r="U171" s="266" cm="1">
        <f t="array" ref="U171">U165-U169-U167</f>
        <v>0</v>
      </c>
      <c r="V171" s="263"/>
      <c r="W171" s="97"/>
      <c r="X171" s="97"/>
    </row>
    <row r="172" ht="21.35" customHeight="1">
      <c r="S172" s="254"/>
      <c r="T172" s="255"/>
      <c r="U172" s="256"/>
      <c r="V172" s="242"/>
      <c r="W172" s="97"/>
      <c r="X172" s="97"/>
    </row>
    <row r="173" ht="20.05" customHeight="1">
      <c r="S173" s="233"/>
      <c r="T173" s="107"/>
      <c r="U173" s="231"/>
      <c r="V173" s="242"/>
      <c r="W173" s="97"/>
      <c r="X173" s="97"/>
    </row>
    <row r="174" ht="20.05" customHeight="1">
      <c r="S174" s="233"/>
      <c r="T174" s="107"/>
      <c r="U174" s="231"/>
      <c r="V174" s="242"/>
      <c r="W174" s="97"/>
      <c r="X174" s="97"/>
    </row>
    <row r="175" ht="20.05" customHeight="1">
      <c r="S175" s="233"/>
      <c r="T175" s="107"/>
      <c r="U175" s="231"/>
      <c r="V175" s="242"/>
      <c r="W175" s="97"/>
      <c r="X175" s="97"/>
    </row>
  </sheetData>
  <mergeCells count="3">
    <mergeCell ref="A1:L1"/>
    <mergeCell ref="M73:R73"/>
    <mergeCell ref="S151:X15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04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36.6875" style="267" customWidth="1"/>
    <col min="2" max="3" width="16.3516" style="267" customWidth="1"/>
    <col min="4" max="4" width="20.2188" style="267" customWidth="1"/>
    <col min="5" max="6" width="16.3516" style="267" customWidth="1"/>
    <col min="7" max="7" width="29.6016" style="276" customWidth="1"/>
    <col min="8" max="11" width="16.3516" style="276" customWidth="1"/>
    <col min="12" max="16384" width="16.3516" style="276" customWidth="1"/>
  </cols>
  <sheetData>
    <row r="1" ht="27.65" customHeight="1">
      <c r="A1" t="s" s="168">
        <v>193</v>
      </c>
      <c r="B1" s="168"/>
      <c r="C1" s="168"/>
      <c r="D1" s="168"/>
      <c r="E1" s="168"/>
      <c r="F1" s="168"/>
    </row>
    <row r="2" ht="23.2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268"/>
    </row>
    <row r="3" ht="20.25" customHeight="1">
      <c r="A3" t="s" s="237">
        <v>86</v>
      </c>
      <c r="B3" s="269">
        <v>1</v>
      </c>
      <c r="C3" s="239">
        <v>5500</v>
      </c>
      <c r="D3" s="239" cm="1">
        <f t="array" ref="D3">C3*B3</f>
        <v>5500</v>
      </c>
      <c r="E3" s="270">
        <v>46143</v>
      </c>
      <c r="F3" s="178"/>
    </row>
    <row r="4" ht="20.05" customHeight="1">
      <c r="A4" t="s" s="230">
        <v>109</v>
      </c>
      <c r="B4" s="94">
        <v>200</v>
      </c>
      <c r="C4" s="231">
        <v>100</v>
      </c>
      <c r="D4" s="231" cm="1">
        <f t="array" ref="D4">C4*B4</f>
        <v>20000</v>
      </c>
      <c r="E4" s="105">
        <v>47239</v>
      </c>
      <c r="F4" s="97"/>
    </row>
    <row r="5" ht="20.05" customHeight="1">
      <c r="A5" t="s" s="230">
        <v>106</v>
      </c>
      <c r="B5" s="94">
        <v>1</v>
      </c>
      <c r="C5" s="231">
        <v>800</v>
      </c>
      <c r="D5" s="231" cm="1">
        <f t="array" ref="D5">C5*B5</f>
        <v>800</v>
      </c>
      <c r="E5" s="105">
        <v>46143</v>
      </c>
      <c r="F5" s="97"/>
    </row>
    <row r="6" ht="20.05" customHeight="1">
      <c r="A6" t="s" s="230">
        <v>249</v>
      </c>
      <c r="B6" s="94">
        <v>150</v>
      </c>
      <c r="C6" s="231">
        <v>5.5</v>
      </c>
      <c r="D6" s="231" cm="1">
        <f t="array" ref="D6">C6*B6*25</f>
        <v>20625</v>
      </c>
      <c r="E6" s="105">
        <v>46143</v>
      </c>
      <c r="F6" s="97"/>
    </row>
    <row r="7" ht="20.05" customHeight="1">
      <c r="A7" t="s" s="230">
        <v>250</v>
      </c>
      <c r="B7" s="94">
        <v>1</v>
      </c>
      <c r="C7" s="231">
        <v>1000</v>
      </c>
      <c r="D7" s="231" cm="1">
        <f t="array" ref="D7">C7*B7</f>
        <v>1000</v>
      </c>
      <c r="E7" s="105">
        <v>46143</v>
      </c>
      <c r="F7" s="97"/>
    </row>
    <row r="8" ht="20.05" customHeight="1">
      <c r="A8" t="s" s="230">
        <v>251</v>
      </c>
      <c r="B8" s="94">
        <v>3</v>
      </c>
      <c r="C8" s="231">
        <v>2500</v>
      </c>
      <c r="D8" s="231" cm="1">
        <f t="array" ref="D8">C8*B8</f>
        <v>7500</v>
      </c>
      <c r="E8" s="105">
        <v>46143</v>
      </c>
      <c r="F8" s="97"/>
    </row>
    <row r="9" ht="20.05" customHeight="1">
      <c r="A9" t="s" s="230">
        <v>252</v>
      </c>
      <c r="B9" s="94">
        <v>1</v>
      </c>
      <c r="C9" s="231">
        <v>1500</v>
      </c>
      <c r="D9" s="231" cm="1">
        <f t="array" ref="D9">C9*B9</f>
        <v>1500</v>
      </c>
      <c r="E9" s="105">
        <v>46143</v>
      </c>
      <c r="F9" s="97"/>
    </row>
    <row r="10" ht="20.05" customHeight="1">
      <c r="A10" t="s" s="230">
        <v>253</v>
      </c>
      <c r="B10" s="94">
        <v>1</v>
      </c>
      <c r="C10" s="231">
        <v>30000</v>
      </c>
      <c r="D10" s="231" cm="1">
        <f t="array" ref="D10">C10*B10</f>
        <v>30000</v>
      </c>
      <c r="E10" s="105">
        <v>46144</v>
      </c>
      <c r="F10" s="97"/>
    </row>
    <row r="11" ht="20.05" customHeight="1">
      <c r="A11" t="s" s="230">
        <v>120</v>
      </c>
      <c r="B11" s="94">
        <v>1</v>
      </c>
      <c r="C11" s="231">
        <v>400</v>
      </c>
      <c r="D11" s="231" cm="1">
        <f t="array" ref="D11">C11*B11</f>
        <v>400</v>
      </c>
      <c r="E11" s="105">
        <v>46148</v>
      </c>
      <c r="F11" s="97"/>
    </row>
    <row r="12" ht="20.05" customHeight="1">
      <c r="A12" t="s" s="230">
        <v>254</v>
      </c>
      <c r="B12" s="94">
        <v>250</v>
      </c>
      <c r="C12" s="231">
        <v>2.5</v>
      </c>
      <c r="D12" s="231" cm="1">
        <f t="array" ref="D12">C12*B12*18</f>
        <v>11250</v>
      </c>
      <c r="E12" s="105">
        <v>46150</v>
      </c>
      <c r="F12" s="97"/>
    </row>
    <row r="13" ht="20.05" customHeight="1">
      <c r="A13" t="s" s="230">
        <v>255</v>
      </c>
      <c r="B13" s="94">
        <v>1</v>
      </c>
      <c r="C13" s="231">
        <v>1500</v>
      </c>
      <c r="D13" s="231" cm="1">
        <f t="array" ref="D13">C13*B13</f>
        <v>1500</v>
      </c>
      <c r="E13" s="105">
        <v>46150</v>
      </c>
      <c r="F13" s="97"/>
    </row>
    <row r="14" ht="20.05" customHeight="1">
      <c r="A14" t="s" s="230">
        <v>256</v>
      </c>
      <c r="B14" s="94">
        <v>120</v>
      </c>
      <c r="C14" s="231">
        <v>5</v>
      </c>
      <c r="D14" s="231" cm="1">
        <f t="array" ref="D14">C14*B14*17</f>
        <v>10200</v>
      </c>
      <c r="E14" s="105">
        <v>46151</v>
      </c>
      <c r="F14" s="97"/>
    </row>
    <row r="15" ht="20.05" customHeight="1">
      <c r="A15" t="s" s="230">
        <v>250</v>
      </c>
      <c r="B15" s="94">
        <v>1</v>
      </c>
      <c r="C15" s="231">
        <v>1200</v>
      </c>
      <c r="D15" s="231" cm="1">
        <f t="array" ref="D15">C15*B15</f>
        <v>1200</v>
      </c>
      <c r="E15" s="105">
        <v>46151</v>
      </c>
      <c r="F15" s="97"/>
    </row>
    <row r="16" ht="20.05" customHeight="1">
      <c r="A16" t="s" s="230">
        <v>257</v>
      </c>
      <c r="B16" s="94">
        <v>65</v>
      </c>
      <c r="C16" s="231">
        <v>19</v>
      </c>
      <c r="D16" s="231" cm="1">
        <f t="array" ref="D16">C16*B16*15</f>
        <v>18525</v>
      </c>
      <c r="E16" s="105">
        <v>46153</v>
      </c>
      <c r="F16" s="97"/>
    </row>
    <row r="17" ht="20.05" customHeight="1">
      <c r="A17" t="s" s="230">
        <v>258</v>
      </c>
      <c r="B17" s="94">
        <v>150</v>
      </c>
      <c r="C17" s="231">
        <v>2.5</v>
      </c>
      <c r="D17" s="231" cm="1">
        <f t="array" ref="D17">C17*B17*25</f>
        <v>9375</v>
      </c>
      <c r="E17" s="105">
        <v>46153</v>
      </c>
      <c r="F17" s="97"/>
    </row>
    <row r="18" ht="20.05" customHeight="1">
      <c r="A18" t="s" s="230">
        <v>259</v>
      </c>
      <c r="B18" s="94">
        <v>1</v>
      </c>
      <c r="C18" s="231">
        <v>3000</v>
      </c>
      <c r="D18" s="231" cm="1">
        <f t="array" ref="D18">C18*B18</f>
        <v>3000</v>
      </c>
      <c r="E18" s="105">
        <v>46153</v>
      </c>
      <c r="F18" s="97"/>
    </row>
    <row r="19" ht="20.05" customHeight="1">
      <c r="A19" t="s" s="230">
        <v>260</v>
      </c>
      <c r="B19" s="94">
        <v>50</v>
      </c>
      <c r="C19" s="231">
        <v>5</v>
      </c>
      <c r="D19" s="231" cm="1">
        <f t="array" ref="D19">C19*B19*16</f>
        <v>4000</v>
      </c>
      <c r="E19" s="105">
        <v>46153</v>
      </c>
      <c r="F19" s="97"/>
    </row>
    <row r="20" ht="20.05" customHeight="1">
      <c r="A20" t="s" s="230">
        <v>250</v>
      </c>
      <c r="B20" s="94">
        <v>1</v>
      </c>
      <c r="C20" s="231">
        <v>600</v>
      </c>
      <c r="D20" s="231" cm="1">
        <f t="array" ref="D20">C20*B20</f>
        <v>600</v>
      </c>
      <c r="E20" s="105">
        <v>46153</v>
      </c>
      <c r="F20" s="97"/>
    </row>
    <row r="21" ht="20.05" customHeight="1">
      <c r="A21" t="s" s="230">
        <v>261</v>
      </c>
      <c r="B21" s="94">
        <v>155</v>
      </c>
      <c r="C21" s="231">
        <v>6</v>
      </c>
      <c r="D21" s="231" cm="1">
        <f t="array" ref="D21">C21*B21+170</f>
        <v>1100</v>
      </c>
      <c r="E21" s="105">
        <v>46155</v>
      </c>
      <c r="F21" s="97"/>
    </row>
    <row r="22" ht="20.05" customHeight="1">
      <c r="A22" t="s" s="230">
        <v>253</v>
      </c>
      <c r="B22" s="94">
        <v>1</v>
      </c>
      <c r="C22" s="231">
        <v>15000</v>
      </c>
      <c r="D22" s="231" cm="1">
        <f t="array" ref="D22">C22*B22</f>
        <v>15000</v>
      </c>
      <c r="E22" s="105">
        <v>46158</v>
      </c>
      <c r="F22" s="97"/>
    </row>
    <row r="23" ht="20.05" customHeight="1">
      <c r="A23" t="s" s="230">
        <v>198</v>
      </c>
      <c r="B23" s="94">
        <v>40</v>
      </c>
      <c r="C23" s="231">
        <v>525</v>
      </c>
      <c r="D23" s="231" cm="1">
        <f t="array" ref="D23">C23*B23</f>
        <v>21000</v>
      </c>
      <c r="E23" s="105">
        <v>46158</v>
      </c>
      <c r="F23" s="97"/>
    </row>
    <row r="24" ht="20.05" customHeight="1">
      <c r="A24" t="s" s="230">
        <v>262</v>
      </c>
      <c r="B24" s="94">
        <v>500</v>
      </c>
      <c r="C24" s="231">
        <v>330</v>
      </c>
      <c r="D24" s="231" cm="1">
        <f t="array" ref="D24">C24*B24</f>
        <v>165000</v>
      </c>
      <c r="E24" s="105">
        <v>46158</v>
      </c>
      <c r="F24" s="97"/>
    </row>
    <row r="25" ht="20.05" customHeight="1">
      <c r="A25" t="s" s="230">
        <v>124</v>
      </c>
      <c r="B25" s="94">
        <v>3</v>
      </c>
      <c r="C25" s="231">
        <v>500</v>
      </c>
      <c r="D25" s="231" cm="1">
        <f t="array" ref="D25">C25*B25</f>
        <v>1500</v>
      </c>
      <c r="E25" s="105">
        <v>46158</v>
      </c>
      <c r="F25" s="97"/>
    </row>
    <row r="26" ht="20.05" customHeight="1">
      <c r="A26" t="s" s="230">
        <v>263</v>
      </c>
      <c r="B26" s="94">
        <v>1</v>
      </c>
      <c r="C26" s="231">
        <v>3300</v>
      </c>
      <c r="D26" s="231" cm="1">
        <f t="array" ref="D26">C26*B26</f>
        <v>3300</v>
      </c>
      <c r="E26" s="105">
        <v>46158</v>
      </c>
      <c r="F26" s="97"/>
    </row>
    <row r="27" ht="20.05" customHeight="1">
      <c r="A27" t="s" s="230">
        <v>125</v>
      </c>
      <c r="B27" s="94">
        <v>1</v>
      </c>
      <c r="C27" s="231">
        <v>20000</v>
      </c>
      <c r="D27" s="231" cm="1">
        <f t="array" ref="D27">C27*B27</f>
        <v>20000</v>
      </c>
      <c r="E27" s="105">
        <v>46159</v>
      </c>
      <c r="F27" s="97"/>
    </row>
    <row r="28" ht="20.05" customHeight="1">
      <c r="A28" t="s" s="230">
        <v>63</v>
      </c>
      <c r="B28" s="94">
        <v>11</v>
      </c>
      <c r="C28" s="231">
        <v>1750</v>
      </c>
      <c r="D28" s="231" cm="1">
        <f t="array" ref="D28">C28*B28</f>
        <v>19250</v>
      </c>
      <c r="E28" s="105">
        <v>46160</v>
      </c>
      <c r="F28" s="97"/>
    </row>
    <row r="29" ht="20.05" customHeight="1">
      <c r="A29" t="s" s="230">
        <v>63</v>
      </c>
      <c r="B29" s="94">
        <v>10</v>
      </c>
      <c r="C29" s="231">
        <v>1800</v>
      </c>
      <c r="D29" s="231" cm="1">
        <f t="array" ref="D29">C29*B29</f>
        <v>18000</v>
      </c>
      <c r="E29" s="105">
        <v>46160</v>
      </c>
      <c r="F29" s="97"/>
    </row>
    <row r="30" ht="20.05" customHeight="1">
      <c r="A30" t="s" s="230">
        <v>114</v>
      </c>
      <c r="B30" s="94">
        <v>25</v>
      </c>
      <c r="C30" s="231">
        <v>250</v>
      </c>
      <c r="D30" s="231" cm="1">
        <f t="array" ref="D30">C30*B30</f>
        <v>6250</v>
      </c>
      <c r="E30" s="105">
        <v>46160</v>
      </c>
      <c r="F30" s="97"/>
    </row>
    <row r="31" ht="20.05" customHeight="1">
      <c r="A31" t="s" s="230">
        <v>110</v>
      </c>
      <c r="B31" s="94">
        <v>15</v>
      </c>
      <c r="C31" s="231">
        <v>340</v>
      </c>
      <c r="D31" s="231" cm="1">
        <f t="array" ref="D31">C31*B31</f>
        <v>5100</v>
      </c>
      <c r="E31" s="105">
        <v>46160</v>
      </c>
      <c r="F31" s="97"/>
    </row>
    <row r="32" ht="20.05" customHeight="1">
      <c r="A32" t="s" s="230">
        <v>264</v>
      </c>
      <c r="B32" s="94">
        <v>10</v>
      </c>
      <c r="C32" s="231">
        <v>35</v>
      </c>
      <c r="D32" s="231" cm="1">
        <f t="array" ref="D32">C32*B32</f>
        <v>350</v>
      </c>
      <c r="E32" s="105">
        <v>46160</v>
      </c>
      <c r="F32" s="97"/>
    </row>
    <row r="33" ht="20.05" customHeight="1">
      <c r="A33" t="s" s="230">
        <v>14</v>
      </c>
      <c r="B33" s="94">
        <v>1</v>
      </c>
      <c r="C33" s="231">
        <v>475</v>
      </c>
      <c r="D33" s="231" cm="1">
        <f t="array" ref="D33">C33*B33</f>
        <v>475</v>
      </c>
      <c r="E33" s="105">
        <v>46160</v>
      </c>
      <c r="F33" s="97"/>
    </row>
    <row r="34" ht="20.05" customHeight="1">
      <c r="A34" t="s" s="230">
        <v>116</v>
      </c>
      <c r="B34" s="94">
        <v>1</v>
      </c>
      <c r="C34" s="231">
        <v>1500</v>
      </c>
      <c r="D34" s="231" cm="1">
        <f t="array" ref="D34">C34*B34</f>
        <v>1500</v>
      </c>
      <c r="E34" s="105">
        <v>46160</v>
      </c>
      <c r="F34" s="97"/>
    </row>
    <row r="35" ht="20.05" customHeight="1">
      <c r="A35" t="s" s="230">
        <v>265</v>
      </c>
      <c r="B35" s="94">
        <v>1</v>
      </c>
      <c r="C35" s="231">
        <v>100000</v>
      </c>
      <c r="D35" s="231" cm="1">
        <f t="array" ref="D35">C35*B35</f>
        <v>100000</v>
      </c>
      <c r="E35" s="105">
        <v>46160</v>
      </c>
      <c r="F35" s="97"/>
    </row>
    <row r="36" ht="20.05" customHeight="1">
      <c r="A36" t="s" s="230">
        <v>266</v>
      </c>
      <c r="B36" s="94">
        <v>1</v>
      </c>
      <c r="C36" s="231">
        <v>2200</v>
      </c>
      <c r="D36" s="231" cm="1">
        <f t="array" ref="D36">C36*B36</f>
        <v>2200</v>
      </c>
      <c r="E36" s="105">
        <v>46161</v>
      </c>
      <c r="F36" s="97"/>
    </row>
    <row r="37" ht="20.05" customHeight="1">
      <c r="A37" t="s" s="230">
        <v>267</v>
      </c>
      <c r="B37" s="94">
        <v>1</v>
      </c>
      <c r="C37" s="231">
        <v>19000</v>
      </c>
      <c r="D37" s="231" cm="1">
        <f t="array" ref="D37">C37*B37</f>
        <v>19000</v>
      </c>
      <c r="E37" s="105">
        <v>46161</v>
      </c>
      <c r="F37" s="97"/>
    </row>
    <row r="38" ht="20.05" customHeight="1">
      <c r="A38" t="s" s="230">
        <v>130</v>
      </c>
      <c r="B38" s="94">
        <v>1</v>
      </c>
      <c r="C38" s="231">
        <v>13325</v>
      </c>
      <c r="D38" s="231" cm="1">
        <f t="array" ref="D38">C38*B38</f>
        <v>13325</v>
      </c>
      <c r="E38" s="105">
        <v>46161</v>
      </c>
      <c r="F38" s="97"/>
    </row>
    <row r="39" ht="20.05" customHeight="1">
      <c r="A39" t="s" s="230">
        <v>268</v>
      </c>
      <c r="B39" s="94">
        <v>1</v>
      </c>
      <c r="C39" s="231">
        <v>600</v>
      </c>
      <c r="D39" s="231" cm="1">
        <f t="array" ref="D39">C39*B39</f>
        <v>600</v>
      </c>
      <c r="E39" s="105">
        <v>46161</v>
      </c>
      <c r="F39" s="97"/>
    </row>
    <row r="40" ht="20.05" customHeight="1">
      <c r="A40" t="s" s="230">
        <v>142</v>
      </c>
      <c r="B40" s="94">
        <v>1</v>
      </c>
      <c r="C40" s="231">
        <v>10000</v>
      </c>
      <c r="D40" s="231" cm="1">
        <f t="array" ref="D40">C40*B40</f>
        <v>10000</v>
      </c>
      <c r="E40" s="105">
        <v>46162</v>
      </c>
      <c r="F40" s="97"/>
    </row>
    <row r="41" ht="20.05" customHeight="1">
      <c r="A41" t="s" s="230">
        <v>139</v>
      </c>
      <c r="B41" s="94">
        <v>1</v>
      </c>
      <c r="C41" s="231">
        <v>9000</v>
      </c>
      <c r="D41" s="231" cm="1">
        <f t="array" ref="D41">C41*B41</f>
        <v>9000</v>
      </c>
      <c r="E41" s="105">
        <v>46161</v>
      </c>
      <c r="F41" s="97"/>
    </row>
    <row r="42" ht="20.05" customHeight="1">
      <c r="A42" t="s" s="230">
        <v>269</v>
      </c>
      <c r="B42" s="94">
        <v>3</v>
      </c>
      <c r="C42" s="231">
        <v>15500</v>
      </c>
      <c r="D42" s="231" cm="1">
        <f t="array" ref="D42">C42*B42</f>
        <v>46500</v>
      </c>
      <c r="E42" s="105">
        <v>46161</v>
      </c>
      <c r="F42" s="97"/>
    </row>
    <row r="43" ht="20.05" customHeight="1">
      <c r="A43" t="s" s="230">
        <v>134</v>
      </c>
      <c r="B43" s="94">
        <v>3</v>
      </c>
      <c r="C43" s="231">
        <v>9000</v>
      </c>
      <c r="D43" s="231" cm="1">
        <f t="array" ref="D43">C43*B43</f>
        <v>27000</v>
      </c>
      <c r="E43" s="105">
        <v>46163</v>
      </c>
      <c r="F43" s="97"/>
    </row>
    <row r="44" ht="20.05" customHeight="1">
      <c r="A44" t="s" s="230">
        <v>120</v>
      </c>
      <c r="B44" s="94">
        <v>1</v>
      </c>
      <c r="C44" s="231">
        <v>400</v>
      </c>
      <c r="D44" s="231" cm="1">
        <f t="array" ref="D44">C44*B44</f>
        <v>400</v>
      </c>
      <c r="E44" s="105">
        <v>46163</v>
      </c>
      <c r="F44" s="97"/>
    </row>
    <row r="45" ht="20.05" customHeight="1">
      <c r="A45" t="s" s="230">
        <v>124</v>
      </c>
      <c r="B45" s="94">
        <v>1</v>
      </c>
      <c r="C45" s="231">
        <v>500</v>
      </c>
      <c r="D45" s="231" cm="1">
        <f t="array" ref="D45">C45*B45</f>
        <v>500</v>
      </c>
      <c r="E45" s="105">
        <v>46163</v>
      </c>
      <c r="F45" s="97"/>
    </row>
    <row r="46" ht="20.05" customHeight="1">
      <c r="A46" t="s" s="230">
        <v>129</v>
      </c>
      <c r="B46" s="94">
        <v>1</v>
      </c>
      <c r="C46" s="231">
        <v>200</v>
      </c>
      <c r="D46" s="231" cm="1">
        <f t="array" ref="D46">C46*B46</f>
        <v>200</v>
      </c>
      <c r="E46" s="105">
        <v>46163</v>
      </c>
      <c r="F46" s="97"/>
    </row>
    <row r="47" ht="20.05" customHeight="1">
      <c r="A47" t="s" s="230">
        <v>270</v>
      </c>
      <c r="B47" s="94">
        <v>1</v>
      </c>
      <c r="C47" s="231">
        <v>2000</v>
      </c>
      <c r="D47" s="231" cm="1">
        <f t="array" ref="D47">C47*B47</f>
        <v>2000</v>
      </c>
      <c r="E47" s="105">
        <v>46163</v>
      </c>
      <c r="F47" s="97"/>
    </row>
    <row r="48" ht="20.05" customHeight="1">
      <c r="A48" t="s" s="230">
        <v>14</v>
      </c>
      <c r="B48" s="94">
        <v>343</v>
      </c>
      <c r="C48" s="231">
        <v>455</v>
      </c>
      <c r="D48" s="231" cm="1">
        <f t="array" ref="D48">C48*B48</f>
        <v>156065</v>
      </c>
      <c r="E48" s="105">
        <v>46164</v>
      </c>
      <c r="F48" s="97"/>
    </row>
    <row r="49" ht="20.05" customHeight="1">
      <c r="A49" t="s" s="230">
        <v>145</v>
      </c>
      <c r="B49" s="94">
        <v>343</v>
      </c>
      <c r="C49" s="231">
        <v>20</v>
      </c>
      <c r="D49" s="231" cm="1">
        <f t="array" ref="D49">C49*B49</f>
        <v>6860</v>
      </c>
      <c r="E49" s="105">
        <v>46164</v>
      </c>
      <c r="F49" s="97"/>
    </row>
    <row r="50" ht="20.05" customHeight="1">
      <c r="A50" t="s" s="230">
        <v>120</v>
      </c>
      <c r="B50" s="94">
        <v>1</v>
      </c>
      <c r="C50" s="231">
        <v>1100</v>
      </c>
      <c r="D50" s="231" cm="1">
        <f t="array" ref="D50">C50*B50</f>
        <v>1100</v>
      </c>
      <c r="E50" s="105">
        <v>46164</v>
      </c>
      <c r="F50" s="97"/>
    </row>
    <row r="51" ht="20.05" customHeight="1">
      <c r="A51" t="s" s="230">
        <v>130</v>
      </c>
      <c r="B51" s="94">
        <v>1</v>
      </c>
      <c r="C51" s="231">
        <v>200</v>
      </c>
      <c r="D51" s="231" cm="1">
        <f t="array" ref="D51">C51*B51</f>
        <v>200</v>
      </c>
      <c r="E51" s="105">
        <v>46164</v>
      </c>
      <c r="F51" s="97"/>
    </row>
    <row r="52" ht="20.05" customHeight="1">
      <c r="A52" t="s" s="230">
        <v>271</v>
      </c>
      <c r="B52" s="94">
        <v>16</v>
      </c>
      <c r="C52" s="231">
        <v>3</v>
      </c>
      <c r="D52" s="244">
        <v>1000</v>
      </c>
      <c r="E52" s="105">
        <v>46164</v>
      </c>
      <c r="F52" s="97"/>
    </row>
    <row r="53" ht="20.05" customHeight="1">
      <c r="A53" t="s" s="230">
        <v>125</v>
      </c>
      <c r="B53" s="94">
        <v>1</v>
      </c>
      <c r="C53" s="231">
        <v>15000</v>
      </c>
      <c r="D53" s="231" cm="1">
        <f t="array" ref="D53">C53*B53</f>
        <v>15000</v>
      </c>
      <c r="E53" s="105">
        <v>46164</v>
      </c>
      <c r="F53" s="97"/>
    </row>
    <row r="54" ht="20.05" customHeight="1">
      <c r="A54" t="s" s="230">
        <v>272</v>
      </c>
      <c r="B54" s="94">
        <v>1</v>
      </c>
      <c r="C54" s="231">
        <v>3000</v>
      </c>
      <c r="D54" s="231" cm="1">
        <f t="array" ref="D54">C54*B54</f>
        <v>3000</v>
      </c>
      <c r="E54" s="105">
        <v>46164</v>
      </c>
      <c r="F54" s="97"/>
    </row>
    <row r="55" ht="20.05" customHeight="1">
      <c r="A55" t="s" s="230">
        <v>273</v>
      </c>
      <c r="B55" s="94">
        <v>5</v>
      </c>
      <c r="C55" s="231">
        <v>700</v>
      </c>
      <c r="D55" s="231" cm="1">
        <f t="array" ref="D55">C55*B55</f>
        <v>3500</v>
      </c>
      <c r="E55" s="105">
        <v>46164</v>
      </c>
      <c r="F55" s="97"/>
    </row>
    <row r="56" ht="20.05" customHeight="1">
      <c r="A56" t="s" s="230">
        <v>274</v>
      </c>
      <c r="B56" s="94">
        <v>1</v>
      </c>
      <c r="C56" s="231">
        <v>400</v>
      </c>
      <c r="D56" s="231" cm="1">
        <f t="array" ref="D56">C56*B56</f>
        <v>400</v>
      </c>
      <c r="E56" s="105">
        <v>46164</v>
      </c>
      <c r="F56" s="97"/>
    </row>
    <row r="57" ht="20.05" customHeight="1">
      <c r="A57" t="s" s="230">
        <v>151</v>
      </c>
      <c r="B57" s="94">
        <v>1</v>
      </c>
      <c r="C57" s="231">
        <v>45000</v>
      </c>
      <c r="D57" s="231" cm="1">
        <f t="array" ref="D57">C57*B57</f>
        <v>45000</v>
      </c>
      <c r="E57" s="105">
        <v>46165</v>
      </c>
      <c r="F57" s="97"/>
    </row>
    <row r="58" ht="20.05" customHeight="1">
      <c r="A58" t="s" s="230">
        <v>275</v>
      </c>
      <c r="B58" s="94">
        <v>1</v>
      </c>
      <c r="C58" s="231">
        <v>2000</v>
      </c>
      <c r="D58" s="231" cm="1">
        <f t="array" ref="D58">C58*B58</f>
        <v>2000</v>
      </c>
      <c r="E58" s="105">
        <v>46165</v>
      </c>
      <c r="F58" s="97"/>
    </row>
    <row r="59" ht="20.05" customHeight="1">
      <c r="A59" t="s" s="230">
        <v>147</v>
      </c>
      <c r="B59" s="94">
        <v>1</v>
      </c>
      <c r="C59" s="231">
        <v>1500</v>
      </c>
      <c r="D59" s="231" cm="1">
        <f t="array" ref="D59">C59*B59</f>
        <v>1500</v>
      </c>
      <c r="E59" s="105">
        <v>46165</v>
      </c>
      <c r="F59" s="97"/>
    </row>
    <row r="60" ht="20.05" customHeight="1">
      <c r="A60" t="s" s="230">
        <v>120</v>
      </c>
      <c r="B60" s="94">
        <v>1</v>
      </c>
      <c r="C60" s="231">
        <v>1000</v>
      </c>
      <c r="D60" s="231" cm="1">
        <f t="array" ref="D60">C60*B60</f>
        <v>1000</v>
      </c>
      <c r="E60" s="105">
        <v>46167</v>
      </c>
      <c r="F60" s="97"/>
    </row>
    <row r="61" ht="20.05" customHeight="1">
      <c r="A61" t="s" s="230">
        <v>276</v>
      </c>
      <c r="B61" s="94">
        <v>1</v>
      </c>
      <c r="C61" s="231">
        <v>1000</v>
      </c>
      <c r="D61" s="231" cm="1">
        <f t="array" ref="D61">C61*B61</f>
        <v>1000</v>
      </c>
      <c r="E61" s="105">
        <v>46168</v>
      </c>
      <c r="F61" s="97"/>
    </row>
    <row r="62" ht="20.05" customHeight="1">
      <c r="A62" t="s" s="230">
        <v>277</v>
      </c>
      <c r="B62" s="94">
        <v>1</v>
      </c>
      <c r="C62" s="231">
        <v>5000</v>
      </c>
      <c r="D62" s="231" cm="1">
        <f t="array" ref="D62">C62*B62</f>
        <v>5000</v>
      </c>
      <c r="E62" s="105">
        <v>46168</v>
      </c>
      <c r="F62" s="97"/>
    </row>
    <row r="63" ht="20.05" customHeight="1">
      <c r="A63" t="s" s="230">
        <v>278</v>
      </c>
      <c r="B63" s="94">
        <v>35</v>
      </c>
      <c r="C63" s="231">
        <v>35</v>
      </c>
      <c r="D63" s="231" cm="1">
        <f t="array" ref="D63">C63*B63*4</f>
        <v>4900</v>
      </c>
      <c r="E63" s="105">
        <v>46168</v>
      </c>
      <c r="F63" s="97"/>
    </row>
    <row r="64" ht="18.05" customHeight="1">
      <c r="A64" t="s" s="230">
        <v>111</v>
      </c>
      <c r="B64" s="94">
        <v>1</v>
      </c>
      <c r="C64" s="231">
        <v>800</v>
      </c>
      <c r="D64" s="231" cm="1">
        <f t="array" ref="D64">C64*B64</f>
        <v>800</v>
      </c>
      <c r="E64" s="105">
        <v>46168</v>
      </c>
      <c r="F64" s="97"/>
    </row>
    <row r="65" ht="20.05" customHeight="1">
      <c r="A65" t="s" s="230">
        <v>86</v>
      </c>
      <c r="B65" s="94">
        <v>1</v>
      </c>
      <c r="C65" s="231">
        <v>5500</v>
      </c>
      <c r="D65" s="231" cm="1">
        <f t="array" ref="D65">C65*B65</f>
        <v>5500</v>
      </c>
      <c r="E65" s="105">
        <v>46174</v>
      </c>
      <c r="F65" s="97"/>
    </row>
    <row r="66" ht="20.05" customHeight="1">
      <c r="A66" t="s" s="230">
        <v>279</v>
      </c>
      <c r="B66" s="94">
        <v>150</v>
      </c>
      <c r="C66" s="231">
        <v>5.5</v>
      </c>
      <c r="D66" s="231" cm="1">
        <f t="array" ref="D66">C66*B66*14</f>
        <v>11550</v>
      </c>
      <c r="E66" s="105">
        <v>46184</v>
      </c>
      <c r="F66" s="97"/>
    </row>
    <row r="67" ht="20.05" customHeight="1">
      <c r="A67" t="s" s="230">
        <v>280</v>
      </c>
      <c r="B67" s="94">
        <v>250</v>
      </c>
      <c r="C67" s="231">
        <v>2.5</v>
      </c>
      <c r="D67" s="231" cm="1">
        <f t="array" ref="D67">C67*B67*14</f>
        <v>8750</v>
      </c>
      <c r="E67" s="105">
        <v>46184</v>
      </c>
      <c r="F67" s="97"/>
    </row>
    <row r="68" ht="20.05" customHeight="1">
      <c r="A68" t="s" s="230">
        <v>281</v>
      </c>
      <c r="B68" s="94">
        <v>150</v>
      </c>
      <c r="C68" s="231">
        <v>2.5</v>
      </c>
      <c r="D68" s="231" cm="1">
        <f t="array" ref="D68">C68*B68*3</f>
        <v>1125</v>
      </c>
      <c r="E68" s="105">
        <v>46184</v>
      </c>
      <c r="F68" s="97"/>
    </row>
    <row r="69" ht="20.05" customHeight="1">
      <c r="A69" t="s" s="230">
        <v>282</v>
      </c>
      <c r="B69" s="94">
        <v>65</v>
      </c>
      <c r="C69" s="231">
        <v>20</v>
      </c>
      <c r="D69" s="231" cm="1">
        <f t="array" ref="D69">C69*B69*14</f>
        <v>18200</v>
      </c>
      <c r="E69" s="105">
        <v>46184</v>
      </c>
      <c r="F69" s="97"/>
    </row>
    <row r="70" ht="20.05" customHeight="1">
      <c r="A70" t="s" s="230">
        <v>283</v>
      </c>
      <c r="B70" s="94">
        <v>170</v>
      </c>
      <c r="C70" s="231">
        <v>5</v>
      </c>
      <c r="D70" s="231" cm="1">
        <f t="array" ref="D70">C70*B70*14</f>
        <v>11900</v>
      </c>
      <c r="E70" s="105">
        <v>46184</v>
      </c>
      <c r="F70" s="97"/>
    </row>
    <row r="71" ht="20.05" customHeight="1">
      <c r="A71" t="s" s="230">
        <v>138</v>
      </c>
      <c r="B71" s="94">
        <v>1</v>
      </c>
      <c r="C71" s="231">
        <v>800</v>
      </c>
      <c r="D71" s="231" cm="1">
        <f t="array" ref="D71">C71*B71</f>
        <v>800</v>
      </c>
      <c r="E71" s="105">
        <v>46184</v>
      </c>
      <c r="F71" s="97"/>
    </row>
    <row r="72" ht="20.05" customHeight="1">
      <c r="A72" t="s" s="230">
        <v>138</v>
      </c>
      <c r="B72" s="94">
        <v>1</v>
      </c>
      <c r="C72" s="231">
        <v>4500</v>
      </c>
      <c r="D72" s="231" cm="1">
        <f t="array" ref="D72">C72*B72</f>
        <v>4500</v>
      </c>
      <c r="E72" s="105">
        <v>46184</v>
      </c>
      <c r="F72" s="97"/>
    </row>
    <row r="73" ht="20.05" customHeight="1">
      <c r="A73" t="s" s="230">
        <v>284</v>
      </c>
      <c r="B73" s="94">
        <v>1</v>
      </c>
      <c r="C73" s="231">
        <v>4200</v>
      </c>
      <c r="D73" s="231" cm="1">
        <f t="array" ref="D73">C73*B73</f>
        <v>4200</v>
      </c>
      <c r="E73" s="105">
        <v>46184</v>
      </c>
      <c r="F73" s="97"/>
    </row>
    <row r="74" ht="20.05" customHeight="1">
      <c r="A74" t="s" s="230">
        <v>277</v>
      </c>
      <c r="B74" s="94">
        <v>1</v>
      </c>
      <c r="C74" s="231">
        <v>5000</v>
      </c>
      <c r="D74" s="231" cm="1">
        <f t="array" ref="D74">C74*B74</f>
        <v>5000</v>
      </c>
      <c r="E74" s="105">
        <v>46184</v>
      </c>
      <c r="F74" s="97"/>
    </row>
    <row r="75" ht="20.05" customHeight="1">
      <c r="A75" t="s" s="230">
        <v>144</v>
      </c>
      <c r="B75" s="94">
        <v>3</v>
      </c>
      <c r="C75" s="231">
        <v>455</v>
      </c>
      <c r="D75" s="231" cm="1">
        <f t="array" ref="D75">C75*B75</f>
        <v>1365</v>
      </c>
      <c r="E75" s="105">
        <v>46164</v>
      </c>
      <c r="F75" s="97"/>
    </row>
    <row r="76" ht="20.05" customHeight="1">
      <c r="A76" t="s" s="230">
        <v>145</v>
      </c>
      <c r="B76" s="94">
        <v>3</v>
      </c>
      <c r="C76" s="231">
        <v>20</v>
      </c>
      <c r="D76" s="231" cm="1">
        <f t="array" ref="D76">C76*B76</f>
        <v>60</v>
      </c>
      <c r="E76" s="105">
        <v>46164</v>
      </c>
      <c r="F76" s="97"/>
    </row>
    <row r="77" ht="20.05" customHeight="1">
      <c r="A77" t="s" s="230">
        <v>285</v>
      </c>
      <c r="B77" s="94">
        <v>1</v>
      </c>
      <c r="C77" s="231">
        <v>40</v>
      </c>
      <c r="D77" s="231" cm="1">
        <f t="array" ref="D77">C77*B77</f>
        <v>40</v>
      </c>
      <c r="E77" s="105">
        <v>46184</v>
      </c>
      <c r="F77" s="97"/>
    </row>
    <row r="78" ht="20.05" customHeight="1">
      <c r="A78" t="s" s="230">
        <v>286</v>
      </c>
      <c r="B78" s="94">
        <v>1</v>
      </c>
      <c r="C78" s="231">
        <v>2500</v>
      </c>
      <c r="D78" s="231" cm="1">
        <f t="array" ref="D78">C78*B78</f>
        <v>2500</v>
      </c>
      <c r="E78" s="105">
        <v>46187</v>
      </c>
      <c r="F78" s="97"/>
    </row>
    <row r="79" ht="20.05" customHeight="1">
      <c r="A79" s="233"/>
      <c r="B79" s="107"/>
      <c r="C79" s="231"/>
      <c r="D79" s="97"/>
      <c r="E79" s="97"/>
      <c r="F79" s="97"/>
    </row>
    <row r="80" ht="20.05" customHeight="1">
      <c r="A80" s="233"/>
      <c r="B80" s="107"/>
      <c r="C80" s="231"/>
      <c r="D80" s="97"/>
      <c r="E80" s="105"/>
      <c r="F80" s="97"/>
    </row>
    <row r="81" ht="20.05" customHeight="1">
      <c r="A81" s="233"/>
      <c r="B81" s="107"/>
      <c r="C81" s="231"/>
      <c r="D81" s="97"/>
      <c r="E81" s="105"/>
      <c r="F81" s="97"/>
    </row>
    <row r="82" ht="20.05" customHeight="1">
      <c r="A82" s="233"/>
      <c r="B82" s="107"/>
      <c r="C82" s="231"/>
      <c r="D82" s="97"/>
      <c r="E82" s="105"/>
      <c r="F82" s="97"/>
    </row>
    <row r="83" ht="20.05" customHeight="1">
      <c r="A83" s="233"/>
      <c r="B83" s="107"/>
      <c r="C83" s="231"/>
      <c r="D83" s="97"/>
      <c r="E83" s="105"/>
      <c r="F83" s="97"/>
    </row>
    <row r="84" ht="20.05" customHeight="1">
      <c r="A84" s="233"/>
      <c r="B84" s="107"/>
      <c r="C84" s="231"/>
      <c r="D84" s="97"/>
      <c r="E84" s="105"/>
      <c r="F84" s="97"/>
    </row>
    <row r="85" ht="24.9" customHeight="1">
      <c r="A85" t="s" s="271">
        <v>287</v>
      </c>
      <c r="B85" s="272"/>
      <c r="C85" s="273"/>
      <c r="D85" s="273" cm="1">
        <f t="array" ref="D85">SUM(D3:D78)</f>
        <v>979340</v>
      </c>
      <c r="E85" s="274"/>
      <c r="F85" s="275"/>
    </row>
    <row r="87" ht="27.65" customHeight="1">
      <c r="G87" t="s" s="168">
        <v>230</v>
      </c>
      <c r="H87" s="168"/>
      <c r="I87" s="168"/>
      <c r="J87" s="168"/>
      <c r="K87" s="168"/>
    </row>
    <row r="88" ht="20.25" customHeight="1">
      <c r="G88" t="s" s="153">
        <v>231</v>
      </c>
      <c r="H88" t="s" s="153">
        <v>232</v>
      </c>
      <c r="I88" t="s" s="153">
        <v>233</v>
      </c>
      <c r="J88" t="s" s="153">
        <v>234</v>
      </c>
      <c r="K88" t="s" s="153">
        <v>235</v>
      </c>
    </row>
    <row r="89" ht="20.25" customHeight="1">
      <c r="G89" t="s" s="237">
        <v>288</v>
      </c>
      <c r="H89" s="277">
        <v>46138</v>
      </c>
      <c r="I89" s="239">
        <v>6940</v>
      </c>
      <c r="J89" s="240" cm="1">
        <f t="array" ref="J89">I89/69.5</f>
        <v>99.85611510791369</v>
      </c>
      <c r="K89" s="278">
        <v>69.5</v>
      </c>
    </row>
    <row r="90" ht="20.05" customHeight="1">
      <c r="G90" t="s" s="230">
        <v>289</v>
      </c>
      <c r="H90" s="243">
        <v>46141</v>
      </c>
      <c r="I90" s="231" cm="1">
        <f t="array" ref="I90">J90*73.8</f>
        <v>221400</v>
      </c>
      <c r="J90" s="242">
        <v>3000</v>
      </c>
      <c r="K90" s="244">
        <v>73.8</v>
      </c>
    </row>
    <row r="91" ht="20.05" customHeight="1">
      <c r="G91" t="s" s="230">
        <v>290</v>
      </c>
      <c r="H91" s="243">
        <v>46158</v>
      </c>
      <c r="I91" s="231" cm="1">
        <f t="array" ref="I91">J91*73.75</f>
        <v>228625</v>
      </c>
      <c r="J91" s="242">
        <v>3100</v>
      </c>
      <c r="K91" s="244">
        <v>73.75</v>
      </c>
    </row>
    <row r="92" ht="20.05" customHeight="1">
      <c r="G92" t="s" s="230">
        <v>289</v>
      </c>
      <c r="H92" s="243">
        <v>46160</v>
      </c>
      <c r="I92" s="231" cm="1">
        <f t="array" ref="I92">J92*73.85</f>
        <v>369250</v>
      </c>
      <c r="J92" s="242">
        <v>5000</v>
      </c>
      <c r="K92" s="244">
        <v>73.84999999999999</v>
      </c>
    </row>
    <row r="93" ht="20.05" customHeight="1">
      <c r="G93" t="s" s="230">
        <v>289</v>
      </c>
      <c r="H93" s="243">
        <v>46163</v>
      </c>
      <c r="I93" s="231" cm="1">
        <f t="array" ref="I93">J93*73.75</f>
        <v>140125</v>
      </c>
      <c r="J93" s="242">
        <v>1900</v>
      </c>
      <c r="K93" s="244">
        <v>73.75</v>
      </c>
    </row>
    <row r="94" ht="20.05" customHeight="1">
      <c r="G94" t="s" s="230">
        <v>291</v>
      </c>
      <c r="H94" s="243">
        <v>46183</v>
      </c>
      <c r="I94" s="231" cm="1">
        <f t="array" ref="I94">J94*74</f>
        <v>74000</v>
      </c>
      <c r="J94" s="242">
        <v>1000</v>
      </c>
      <c r="K94" s="244">
        <v>74</v>
      </c>
    </row>
    <row r="95" ht="20.05" customHeight="1">
      <c r="G95" s="233"/>
      <c r="H95" s="107"/>
      <c r="I95" s="231"/>
      <c r="J95" s="242"/>
      <c r="K95" s="97"/>
    </row>
    <row r="96" ht="20.05" customHeight="1">
      <c r="G96" t="s" s="230">
        <v>292</v>
      </c>
      <c r="H96" s="243">
        <v>46184</v>
      </c>
      <c r="I96" s="231">
        <v>49400</v>
      </c>
      <c r="J96" s="242"/>
      <c r="K96" s="97"/>
    </row>
    <row r="97" ht="21.35" customHeight="1">
      <c r="G97" s="245"/>
      <c r="H97" s="246"/>
      <c r="I97" s="247"/>
      <c r="J97" s="248"/>
      <c r="K97" s="97"/>
    </row>
    <row r="98" ht="26.6" customHeight="1">
      <c r="G98" t="s" s="249">
        <v>167</v>
      </c>
      <c r="H98" s="250"/>
      <c r="I98" s="251" cm="1">
        <f t="array" ref="I98">SUM(I89:I94)</f>
        <v>1040340</v>
      </c>
      <c r="J98" s="252" cm="1">
        <f t="array" ref="J98">SUM(J89:J94)</f>
        <v>14099.8561151079</v>
      </c>
      <c r="K98" s="253"/>
    </row>
    <row r="99" ht="21.35" customHeight="1">
      <c r="G99" s="254"/>
      <c r="H99" s="255"/>
      <c r="I99" s="256"/>
      <c r="J99" s="257"/>
      <c r="K99" s="97"/>
    </row>
    <row r="100" ht="20.05" customHeight="1">
      <c r="G100" s="233"/>
      <c r="H100" s="107"/>
      <c r="I100" s="231"/>
      <c r="J100" s="242"/>
      <c r="K100" s="97"/>
    </row>
    <row r="101" ht="21.35" customHeight="1">
      <c r="G101" s="245"/>
      <c r="H101" s="246"/>
      <c r="I101" s="247"/>
      <c r="J101" s="242"/>
      <c r="K101" s="97"/>
    </row>
    <row r="102" ht="26.6" customHeight="1">
      <c r="G102" t="s" s="249">
        <v>247</v>
      </c>
      <c r="H102" s="250"/>
      <c r="I102" s="262" cm="1">
        <f t="array" ref="I102">SUM(D85+I96)</f>
        <v>1028740</v>
      </c>
      <c r="J102" s="263"/>
      <c r="K102" s="97"/>
    </row>
    <row r="103" ht="22.7" customHeight="1">
      <c r="G103" s="264"/>
      <c r="H103" s="250"/>
      <c r="I103" s="265"/>
      <c r="J103" s="242"/>
      <c r="K103" s="97"/>
    </row>
    <row r="104" ht="26.6" customHeight="1">
      <c r="G104" t="s" s="249">
        <v>248</v>
      </c>
      <c r="H104" s="250"/>
      <c r="I104" s="266" cm="1">
        <f t="array" ref="I104">SUM(I98-I102,K102)</f>
        <v>11600</v>
      </c>
      <c r="J104" s="263"/>
      <c r="K104" s="97"/>
    </row>
  </sheetData>
  <mergeCells count="2">
    <mergeCell ref="A1:F1"/>
    <mergeCell ref="G87:K8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39"/>
  <sheetViews>
    <sheetView workbookViewId="0" showGridLines="0" defaultGridColor="1"/>
  </sheetViews>
  <sheetFormatPr defaultColWidth="13.3333" defaultRowHeight="19.9" customHeight="1" outlineLevelRow="0" outlineLevelCol="0"/>
  <cols>
    <col min="1" max="3" width="13.3516" style="279" customWidth="1"/>
    <col min="4" max="16384" width="13.3516" style="279" customWidth="1"/>
  </cols>
  <sheetData>
    <row r="1" ht="27.65" customHeight="1">
      <c r="A1" t="s" s="168">
        <v>293</v>
      </c>
      <c r="B1" s="168"/>
      <c r="C1" s="168"/>
    </row>
    <row r="2" ht="32.25" customHeight="1"/>
    <row r="3" ht="32.25" customHeight="1">
      <c r="A3" t="s" s="151">
        <v>1</v>
      </c>
      <c r="B3" t="s" s="152">
        <v>177</v>
      </c>
      <c r="C3" t="s" s="153">
        <v>294</v>
      </c>
    </row>
    <row r="4" ht="20.25" customHeight="1">
      <c r="A4" t="s" s="154">
        <v>109</v>
      </c>
      <c r="B4" s="155">
        <v>17</v>
      </c>
      <c r="C4" s="280">
        <v>2040</v>
      </c>
    </row>
    <row r="5" ht="20.05" customHeight="1">
      <c r="A5" t="s" s="157">
        <v>223</v>
      </c>
      <c r="B5" s="158">
        <v>5</v>
      </c>
      <c r="C5" s="281">
        <v>1750</v>
      </c>
    </row>
    <row r="6" ht="32.05" customHeight="1">
      <c r="A6" t="s" s="157">
        <v>213</v>
      </c>
      <c r="B6" s="158">
        <v>5</v>
      </c>
      <c r="C6" s="281">
        <v>800</v>
      </c>
    </row>
    <row r="7" ht="20.05" customHeight="1">
      <c r="A7" t="s" s="157">
        <v>212</v>
      </c>
      <c r="B7" s="158">
        <v>4</v>
      </c>
      <c r="C7" s="281">
        <v>1300</v>
      </c>
    </row>
    <row r="8" ht="32.05" customHeight="1">
      <c r="A8" t="s" s="157">
        <v>227</v>
      </c>
      <c r="B8" s="158">
        <v>6</v>
      </c>
      <c r="C8" s="281">
        <v>150</v>
      </c>
    </row>
    <row r="9" ht="32.05" customHeight="1">
      <c r="A9" t="s" s="157">
        <v>211</v>
      </c>
      <c r="B9" s="158">
        <v>1</v>
      </c>
      <c r="C9" s="281">
        <v>2000</v>
      </c>
    </row>
    <row r="10" ht="20.05" customHeight="1">
      <c r="A10" t="s" s="157">
        <v>205</v>
      </c>
      <c r="B10" s="158">
        <v>1</v>
      </c>
      <c r="C10" s="281">
        <v>5500</v>
      </c>
    </row>
    <row r="11" ht="20.05" customHeight="1">
      <c r="A11" t="s" s="157">
        <v>215</v>
      </c>
      <c r="B11" s="158">
        <v>2</v>
      </c>
      <c r="C11" s="281">
        <v>11000</v>
      </c>
    </row>
    <row r="12" ht="20.05" customHeight="1">
      <c r="A12" t="s" s="157">
        <v>204</v>
      </c>
      <c r="B12" s="158">
        <v>1</v>
      </c>
      <c r="C12" s="281">
        <v>95000</v>
      </c>
    </row>
    <row r="13" ht="32.05" customHeight="1">
      <c r="A13" t="s" s="157">
        <v>201</v>
      </c>
      <c r="B13" s="158">
        <v>1</v>
      </c>
      <c r="C13" s="281">
        <v>500</v>
      </c>
    </row>
    <row r="14" ht="32.05" customHeight="1">
      <c r="A14" t="s" s="157">
        <v>220</v>
      </c>
      <c r="B14" s="158">
        <v>4</v>
      </c>
      <c r="C14" s="281">
        <v>4000</v>
      </c>
    </row>
    <row r="15" ht="32.05" customHeight="1">
      <c r="A15" t="s" s="157">
        <v>221</v>
      </c>
      <c r="B15" s="158">
        <v>3</v>
      </c>
      <c r="C15" s="281">
        <v>1600</v>
      </c>
    </row>
    <row r="16" ht="32.05" customHeight="1">
      <c r="A16" t="s" s="157">
        <v>200</v>
      </c>
      <c r="B16" s="158">
        <v>2</v>
      </c>
      <c r="C16" s="281">
        <v>2000</v>
      </c>
    </row>
    <row r="17" ht="20.05" customHeight="1">
      <c r="A17" t="s" s="157">
        <v>124</v>
      </c>
      <c r="B17" s="158">
        <v>4</v>
      </c>
      <c r="C17" s="281">
        <v>2000</v>
      </c>
    </row>
    <row r="18" ht="44.05" customHeight="1">
      <c r="A18" t="s" s="157">
        <v>224</v>
      </c>
      <c r="B18" s="158">
        <v>1</v>
      </c>
      <c r="C18" s="281">
        <v>1000</v>
      </c>
    </row>
    <row r="19" ht="32.05" customHeight="1">
      <c r="A19" t="s" s="157">
        <v>202</v>
      </c>
      <c r="B19" s="158">
        <v>1</v>
      </c>
      <c r="C19" s="281">
        <v>60000</v>
      </c>
    </row>
    <row r="20" ht="32.05" customHeight="1">
      <c r="A20" t="s" s="157">
        <v>222</v>
      </c>
      <c r="B20" s="158">
        <v>1</v>
      </c>
      <c r="C20" s="281">
        <v>700</v>
      </c>
    </row>
    <row r="21" ht="20.05" customHeight="1">
      <c r="A21" t="s" s="157">
        <v>14</v>
      </c>
      <c r="B21" s="158">
        <v>286</v>
      </c>
      <c r="C21" s="281">
        <v>131280</v>
      </c>
    </row>
    <row r="22" ht="32.05" customHeight="1">
      <c r="A22" t="s" s="157">
        <v>145</v>
      </c>
      <c r="B22" s="158">
        <v>286</v>
      </c>
      <c r="C22" s="281">
        <v>5820</v>
      </c>
    </row>
    <row r="23" ht="20.05" customHeight="1">
      <c r="A23" t="s" s="157">
        <v>216</v>
      </c>
      <c r="B23" s="158">
        <v>6</v>
      </c>
      <c r="C23" s="281">
        <v>9000</v>
      </c>
    </row>
    <row r="24" ht="32.05" customHeight="1">
      <c r="A24" t="s" s="157">
        <v>203</v>
      </c>
      <c r="B24" s="158">
        <v>1</v>
      </c>
      <c r="C24" s="281">
        <v>700</v>
      </c>
    </row>
    <row r="25" ht="32.05" customHeight="1">
      <c r="A25" t="s" s="157">
        <v>120</v>
      </c>
      <c r="B25" s="158">
        <v>6</v>
      </c>
      <c r="C25" s="281">
        <v>2625</v>
      </c>
    </row>
    <row r="26" ht="44.05" customHeight="1">
      <c r="A26" t="s" s="157">
        <v>206</v>
      </c>
      <c r="B26" s="158">
        <v>2</v>
      </c>
      <c r="C26" s="281">
        <v>3150</v>
      </c>
    </row>
    <row r="27" ht="44.05" customHeight="1">
      <c r="A27" t="s" s="157">
        <v>199</v>
      </c>
      <c r="B27" s="158">
        <v>1</v>
      </c>
      <c r="C27" s="281">
        <v>700</v>
      </c>
    </row>
    <row r="28" ht="32.05" customHeight="1">
      <c r="A28" t="s" s="157">
        <v>208</v>
      </c>
      <c r="B28" s="158">
        <v>250</v>
      </c>
      <c r="C28" s="281">
        <v>82500</v>
      </c>
    </row>
    <row r="29" ht="32.05" customHeight="1">
      <c r="A29" t="s" s="157">
        <v>198</v>
      </c>
      <c r="B29" s="158">
        <v>103</v>
      </c>
      <c r="C29" s="281">
        <v>55620</v>
      </c>
    </row>
    <row r="30" ht="20.05" customHeight="1">
      <c r="A30" t="s" s="157">
        <v>209</v>
      </c>
      <c r="B30" s="158">
        <v>200</v>
      </c>
      <c r="C30" s="281">
        <v>26000</v>
      </c>
    </row>
    <row r="31" ht="32.05" customHeight="1">
      <c r="A31" t="s" s="157">
        <v>228</v>
      </c>
      <c r="B31" s="158">
        <v>1</v>
      </c>
      <c r="C31" s="281">
        <v>500</v>
      </c>
    </row>
    <row r="32" ht="32.05" customHeight="1">
      <c r="A32" t="s" s="157">
        <v>210</v>
      </c>
      <c r="B32" s="158">
        <v>2</v>
      </c>
      <c r="C32" s="281">
        <v>2100</v>
      </c>
    </row>
    <row r="33" ht="20.05" customHeight="1">
      <c r="A33" t="s" s="157">
        <v>122</v>
      </c>
      <c r="B33" s="158">
        <v>28</v>
      </c>
      <c r="C33" s="281">
        <v>2807</v>
      </c>
    </row>
    <row r="34" ht="32.05" customHeight="1">
      <c r="A34" t="s" s="157">
        <v>196</v>
      </c>
      <c r="B34" s="158">
        <v>5</v>
      </c>
      <c r="C34" s="281">
        <v>370000</v>
      </c>
    </row>
    <row r="35" ht="32.05" customHeight="1">
      <c r="A35" t="s" s="157">
        <v>217</v>
      </c>
      <c r="B35" s="158">
        <v>1</v>
      </c>
      <c r="C35" s="281">
        <v>140</v>
      </c>
    </row>
    <row r="36" ht="32.05" customHeight="1">
      <c r="A36" t="s" s="157">
        <v>214</v>
      </c>
      <c r="B36" s="158">
        <v>1</v>
      </c>
      <c r="C36" s="281">
        <v>6000</v>
      </c>
    </row>
    <row r="37" ht="20.05" customHeight="1">
      <c r="A37" t="s" s="157">
        <v>195</v>
      </c>
      <c r="B37" s="158">
        <v>4</v>
      </c>
      <c r="C37" s="281">
        <v>32000</v>
      </c>
    </row>
    <row r="38" ht="44.05" customHeight="1">
      <c r="A38" t="s" s="157">
        <v>225</v>
      </c>
      <c r="B38" s="158">
        <v>7</v>
      </c>
      <c r="C38" s="281">
        <v>2100</v>
      </c>
    </row>
    <row r="39" ht="32.25" customHeight="1">
      <c r="A39" t="s" s="161">
        <v>226</v>
      </c>
      <c r="B39" s="162">
        <v>2</v>
      </c>
      <c r="C39" s="163">
        <v>400</v>
      </c>
    </row>
    <row r="40" ht="20.25" customHeight="1">
      <c r="A40" t="s" s="164">
        <v>179</v>
      </c>
      <c r="B40" s="165">
        <v>1251</v>
      </c>
      <c r="C40" s="282">
        <v>924782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283" customWidth="1"/>
    <col min="7" max="16384" width="16.3516" style="283" customWidth="1"/>
  </cols>
  <sheetData>
    <row r="1" ht="27.65" customHeight="1">
      <c r="A1" t="s" s="168">
        <v>193</v>
      </c>
      <c r="B1" s="168"/>
      <c r="C1" s="168"/>
      <c r="D1" s="168"/>
      <c r="E1" s="168"/>
      <c r="F1" s="168"/>
    </row>
    <row r="2" ht="23.2" customHeight="1">
      <c r="A2" t="s" s="211">
        <v>1</v>
      </c>
      <c r="B2" t="s" s="211">
        <v>2</v>
      </c>
      <c r="C2" t="s" s="211">
        <v>3</v>
      </c>
      <c r="D2" t="s" s="211">
        <v>181</v>
      </c>
      <c r="E2" t="s" s="211">
        <v>5</v>
      </c>
      <c r="F2" t="s" s="211">
        <v>194</v>
      </c>
    </row>
    <row r="3" ht="20.25" customHeight="1">
      <c r="A3" t="s" s="237">
        <v>144</v>
      </c>
      <c r="B3" s="269">
        <v>104</v>
      </c>
      <c r="C3" s="278">
        <v>455</v>
      </c>
      <c r="D3" s="278" cm="1">
        <f t="array" ref="D3">C3*B3</f>
        <v>47320</v>
      </c>
      <c r="E3" s="270">
        <v>46164</v>
      </c>
      <c r="F3" s="178"/>
    </row>
    <row r="4" ht="20.05" customHeight="1">
      <c r="A4" t="s" s="230">
        <v>145</v>
      </c>
      <c r="B4" s="94">
        <v>104</v>
      </c>
      <c r="C4" s="244">
        <v>20</v>
      </c>
      <c r="D4" s="244" cm="1">
        <f t="array" ref="D4">C4*B4</f>
        <v>2080</v>
      </c>
      <c r="E4" s="105">
        <v>46164</v>
      </c>
      <c r="F4" s="97"/>
    </row>
    <row r="5" ht="20.05" customHeight="1">
      <c r="A5" s="233"/>
      <c r="B5" s="107"/>
      <c r="C5" s="97"/>
      <c r="D5" s="97"/>
      <c r="E5" s="97"/>
      <c r="F5" s="97"/>
    </row>
    <row r="6" ht="20.05" customHeight="1">
      <c r="A6" s="233"/>
      <c r="B6" s="107"/>
      <c r="C6" s="97"/>
      <c r="D6" s="97"/>
      <c r="E6" s="97"/>
      <c r="F6" s="97"/>
    </row>
    <row r="7" ht="20.05" customHeight="1">
      <c r="A7" s="233"/>
      <c r="B7" s="107"/>
      <c r="C7" s="97"/>
      <c r="D7" s="97"/>
      <c r="E7" s="97"/>
      <c r="F7" s="244" cm="1">
        <f t="array" ref="F7">D3+D4</f>
        <v>49400</v>
      </c>
    </row>
    <row r="8" ht="20.05" customHeight="1">
      <c r="A8" s="233"/>
      <c r="B8" s="107"/>
      <c r="C8" s="97"/>
      <c r="D8" s="97"/>
      <c r="E8" s="97"/>
      <c r="F8" s="97"/>
    </row>
    <row r="9" ht="20.05" customHeight="1">
      <c r="A9" s="233"/>
      <c r="B9" s="107"/>
      <c r="C9" s="97"/>
      <c r="D9" s="97"/>
      <c r="E9" s="97"/>
      <c r="F9" s="97"/>
    </row>
    <row r="10" ht="20.05" customHeight="1">
      <c r="A10" s="233"/>
      <c r="B10" s="107"/>
      <c r="C10" s="97"/>
      <c r="D10" s="97"/>
      <c r="E10" s="97"/>
      <c r="F10" s="97"/>
    </row>
    <row r="11" ht="20.05" customHeight="1">
      <c r="A11" s="233"/>
      <c r="B11" s="107"/>
      <c r="C11" s="97"/>
      <c r="D11" s="97"/>
      <c r="E11" s="97"/>
      <c r="F11" s="97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