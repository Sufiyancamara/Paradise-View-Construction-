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sufiyancamara/Documents/MY LANDS/"/>
    </mc:Choice>
  </mc:AlternateContent>
  <xr:revisionPtr revIDLastSave="0" documentId="8_{6E46441B-203B-E446-B116-A20294118BB5}" xr6:coauthVersionLast="47" xr6:coauthVersionMax="47" xr10:uidLastSave="{00000000-0000-0000-0000-000000000000}"/>
  <bookViews>
    <workbookView xWindow="4220" yWindow="500" windowWidth="17980" windowHeight="17180" firstSheet="7" xr2:uid="{00000000-000D-0000-FFFF-FFFF00000000}"/>
  </bookViews>
  <sheets>
    <sheet name="Cost and Registration" sheetId="1" r:id="rId1"/>
    <sheet name="Fencing" sheetId="2" r:id="rId2"/>
    <sheet name="Brick Molding" sheetId="3" r:id="rId3"/>
    <sheet name="Borehole" sheetId="4" r:id="rId4"/>
    <sheet name="Consultation" sheetId="5" r:id="rId5"/>
    <sheet name="1st Floor Construction " sheetId="6" r:id="rId6"/>
    <sheet name="2nd Floor Brick Molding" sheetId="9" r:id="rId7"/>
    <sheet name="2nd Floor Construction" sheetId="7" r:id="rId8"/>
    <sheet name="3rd Brick Molding 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6" l="1"/>
  <c r="D19" i="10"/>
  <c r="D9" i="10"/>
  <c r="D72" i="7"/>
  <c r="D61" i="7"/>
  <c r="D60" i="7"/>
  <c r="D59" i="7"/>
  <c r="I24" i="10"/>
  <c r="D6" i="10"/>
  <c r="D7" i="10"/>
  <c r="D8" i="10"/>
  <c r="I38" i="10"/>
  <c r="I40" i="10"/>
  <c r="I35" i="10"/>
  <c r="J35" i="10"/>
  <c r="D58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5" i="7"/>
  <c r="D56" i="7"/>
  <c r="D57" i="7"/>
  <c r="D54" i="7"/>
  <c r="N78" i="7"/>
  <c r="O78" i="7"/>
  <c r="I76" i="7"/>
  <c r="I78" i="7"/>
  <c r="I80" i="7"/>
  <c r="I86" i="7"/>
  <c r="J86" i="7"/>
  <c r="J89" i="7"/>
  <c r="G36" i="7"/>
  <c r="D364" i="6"/>
  <c r="J406" i="6"/>
  <c r="O77" i="7"/>
  <c r="J272" i="6"/>
  <c r="J273" i="6"/>
  <c r="I273" i="6"/>
  <c r="D38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7" i="9"/>
  <c r="D15" i="9"/>
  <c r="D14" i="9"/>
  <c r="D9" i="9"/>
  <c r="D8" i="9"/>
  <c r="D7" i="9"/>
  <c r="D6" i="9"/>
  <c r="D353" i="6"/>
  <c r="J95" i="7"/>
  <c r="D305" i="6"/>
  <c r="J408" i="6"/>
  <c r="J410" i="6"/>
  <c r="J412" i="6"/>
  <c r="J419" i="6"/>
  <c r="D350" i="6"/>
  <c r="D349" i="6"/>
  <c r="D348" i="6"/>
  <c r="C353" i="6"/>
  <c r="C357" i="6"/>
  <c r="D346" i="6"/>
  <c r="D345" i="6"/>
  <c r="D344" i="6"/>
  <c r="D343" i="6"/>
  <c r="D342" i="6"/>
  <c r="D341" i="6"/>
  <c r="D340" i="6"/>
  <c r="D339" i="6"/>
  <c r="D338" i="6"/>
  <c r="D334" i="6"/>
  <c r="D333" i="6"/>
  <c r="D332" i="6"/>
  <c r="D331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I376" i="6"/>
  <c r="I378" i="6"/>
  <c r="I380" i="6"/>
  <c r="I382" i="6"/>
  <c r="I402" i="6"/>
  <c r="I404" i="6"/>
  <c r="A374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J404" i="6"/>
  <c r="E18" i="5"/>
  <c r="D18" i="5"/>
  <c r="C18" i="5"/>
  <c r="E7" i="6"/>
  <c r="E8" i="6"/>
  <c r="E19" i="4"/>
  <c r="D8" i="4"/>
  <c r="E14" i="4"/>
  <c r="D14" i="4"/>
  <c r="E65" i="6"/>
  <c r="E66" i="6"/>
  <c r="E68" i="6"/>
  <c r="E67" i="6"/>
  <c r="E59" i="6"/>
  <c r="E63" i="6"/>
  <c r="E62" i="6"/>
  <c r="E61" i="6"/>
  <c r="E60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41" i="6"/>
  <c r="E40" i="6"/>
  <c r="E39" i="6"/>
  <c r="E38" i="6"/>
  <c r="E37" i="6"/>
  <c r="E28" i="6"/>
  <c r="H39" i="6"/>
  <c r="E36" i="6"/>
  <c r="E35" i="6"/>
  <c r="E34" i="6"/>
  <c r="E33" i="6"/>
  <c r="E32" i="6"/>
  <c r="E31" i="6"/>
  <c r="E30" i="6"/>
  <c r="E29" i="6"/>
  <c r="E27" i="6"/>
  <c r="E26" i="6"/>
  <c r="E25" i="6"/>
  <c r="E24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364" i="6"/>
  <c r="C30" i="5"/>
  <c r="C28" i="5"/>
  <c r="E17" i="5"/>
  <c r="H15" i="5"/>
  <c r="E16" i="5"/>
  <c r="C8" i="5"/>
  <c r="D6" i="5"/>
  <c r="D8" i="5"/>
  <c r="D7" i="3"/>
  <c r="E7" i="3"/>
  <c r="D19" i="3"/>
  <c r="D21" i="3"/>
  <c r="D13" i="4"/>
  <c r="E13" i="4"/>
  <c r="D12" i="4"/>
  <c r="E12" i="4"/>
  <c r="D11" i="4"/>
  <c r="E11" i="4"/>
  <c r="D10" i="4"/>
  <c r="E10" i="4"/>
  <c r="E9" i="4"/>
  <c r="D9" i="4"/>
  <c r="E8" i="4"/>
  <c r="D7" i="4"/>
  <c r="E7" i="4"/>
  <c r="D6" i="4"/>
  <c r="E6" i="4"/>
  <c r="D5" i="4"/>
  <c r="E5" i="4"/>
  <c r="E45" i="3"/>
  <c r="D44" i="3"/>
  <c r="E44" i="3"/>
  <c r="D43" i="3"/>
  <c r="E43" i="3"/>
  <c r="E42" i="3"/>
  <c r="D42" i="3"/>
  <c r="D41" i="3"/>
  <c r="E41" i="3"/>
  <c r="D40" i="3"/>
  <c r="E40" i="3"/>
  <c r="D39" i="3"/>
  <c r="E39" i="3"/>
  <c r="D38" i="3"/>
  <c r="E38" i="3"/>
  <c r="D37" i="3"/>
  <c r="E37" i="3"/>
  <c r="D36" i="3"/>
  <c r="E36" i="3"/>
  <c r="D35" i="3"/>
  <c r="E35" i="3"/>
  <c r="D34" i="3"/>
  <c r="E34" i="3"/>
  <c r="D33" i="3"/>
  <c r="E33" i="3"/>
  <c r="D32" i="3"/>
  <c r="E32" i="3"/>
  <c r="D31" i="3"/>
  <c r="E31" i="3"/>
  <c r="D30" i="3"/>
  <c r="E30" i="3"/>
  <c r="D29" i="3"/>
  <c r="E29" i="3"/>
  <c r="E28" i="3"/>
  <c r="D27" i="3"/>
  <c r="E27" i="3"/>
  <c r="E26" i="3"/>
  <c r="D26" i="3"/>
  <c r="D25" i="3"/>
  <c r="E25" i="3"/>
  <c r="D24" i="3"/>
  <c r="E24" i="3"/>
  <c r="D23" i="3"/>
  <c r="E23" i="3"/>
  <c r="D22" i="3"/>
  <c r="E22" i="3"/>
  <c r="E21" i="3"/>
  <c r="D20" i="3"/>
  <c r="E20" i="3"/>
  <c r="E19" i="3"/>
  <c r="D18" i="3"/>
  <c r="E18" i="3"/>
  <c r="C10" i="3"/>
  <c r="D8" i="3"/>
  <c r="E8" i="3"/>
  <c r="E6" i="3"/>
  <c r="D6" i="3"/>
  <c r="B64" i="2"/>
  <c r="C62" i="2"/>
  <c r="C61" i="2"/>
  <c r="C60" i="2"/>
  <c r="C59" i="2"/>
  <c r="C58" i="2"/>
  <c r="C57" i="2"/>
  <c r="C64" i="2"/>
  <c r="E46" i="2"/>
  <c r="D46" i="2"/>
  <c r="D45" i="2"/>
  <c r="E45" i="2"/>
  <c r="E44" i="2"/>
  <c r="D44" i="2"/>
  <c r="E43" i="2"/>
  <c r="D43" i="2"/>
  <c r="E42" i="2"/>
  <c r="D42" i="2"/>
  <c r="D41" i="2"/>
  <c r="E41" i="2"/>
  <c r="E40" i="2"/>
  <c r="D40" i="2"/>
  <c r="E39" i="2"/>
  <c r="D39" i="2"/>
  <c r="E38" i="2"/>
  <c r="D38" i="2"/>
  <c r="D37" i="2"/>
  <c r="E37" i="2"/>
  <c r="E36" i="2"/>
  <c r="D36" i="2"/>
  <c r="E35" i="2"/>
  <c r="D35" i="2"/>
  <c r="E34" i="2"/>
  <c r="D34" i="2"/>
  <c r="E33" i="2"/>
  <c r="E32" i="2"/>
  <c r="D32" i="2"/>
  <c r="D31" i="2"/>
  <c r="E31" i="2"/>
  <c r="D30" i="2"/>
  <c r="E30" i="2"/>
  <c r="E29" i="2"/>
  <c r="D29" i="2"/>
  <c r="E28" i="2"/>
  <c r="D28" i="2"/>
  <c r="E27" i="2"/>
  <c r="D27" i="2"/>
  <c r="D26" i="2"/>
  <c r="E26" i="2"/>
  <c r="E25" i="2"/>
  <c r="D25" i="2"/>
  <c r="E24" i="2"/>
  <c r="D24" i="2"/>
  <c r="E23" i="2"/>
  <c r="E22" i="2"/>
  <c r="D22" i="2"/>
  <c r="E21" i="2"/>
  <c r="D21" i="2"/>
  <c r="D20" i="2"/>
  <c r="E20" i="2"/>
  <c r="D19" i="2"/>
  <c r="E19" i="2"/>
  <c r="E18" i="2"/>
  <c r="D18" i="2"/>
  <c r="E17" i="2"/>
  <c r="D17" i="2"/>
  <c r="D16" i="2"/>
  <c r="E16" i="2"/>
  <c r="D15" i="2"/>
  <c r="E15" i="2"/>
  <c r="E14" i="2"/>
  <c r="D14" i="2"/>
  <c r="E13" i="2"/>
  <c r="D13" i="2"/>
  <c r="D12" i="2"/>
  <c r="E12" i="2"/>
  <c r="D11" i="2"/>
  <c r="E11" i="2"/>
  <c r="E10" i="2"/>
  <c r="D10" i="2"/>
  <c r="E9" i="2"/>
  <c r="D9" i="2"/>
  <c r="D8" i="2"/>
  <c r="D49" i="2"/>
  <c r="B24" i="1"/>
  <c r="C14" i="1"/>
  <c r="C15" i="1"/>
  <c r="C16" i="1"/>
  <c r="C17" i="1"/>
  <c r="C18" i="1"/>
  <c r="C19" i="1"/>
  <c r="C20" i="1"/>
  <c r="C21" i="1"/>
  <c r="C22" i="1"/>
  <c r="C13" i="1"/>
  <c r="C12" i="1"/>
  <c r="E6" i="5"/>
  <c r="E8" i="5"/>
  <c r="D19" i="4"/>
  <c r="J14" i="4"/>
  <c r="E10" i="3"/>
  <c r="D10" i="3"/>
  <c r="C24" i="1"/>
  <c r="D47" i="3"/>
  <c r="E47" i="3"/>
  <c r="E8" i="2"/>
  <c r="E49" i="2"/>
  <c r="J9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tc={0B7E7EE1-5D7B-0443-B78A-9A60CE95DDD5}</author>
    <author>tc={A6062B27-FD31-0D47-B9E9-E33D25084D7F}</author>
    <author>tc={1E17852B-D4DA-6F44-97C8-4989346ED742}</author>
    <author>tc={D7AF5D36-D9C3-824C-8254-30990DB6C688}</author>
    <author>tc={6046C7E2-1477-4542-BED9-FEC4731B4783}</author>
    <author>tc={3A274E3B-CF2A-DA40-9682-8BC13F430281}</author>
    <author>tc={1FDD5676-FFD6-3A4C-980B-EDFFBC5A3911}</author>
    <author>tc={1936A213-DD95-A546-9B72-DAAB3EBF1152}</author>
    <author>tc={94D8BC24-9167-B248-B64C-3ABC3FAC550B}</author>
  </authors>
  <commentList>
    <comment ref="D72" authorId="0" shapeId="0" xr:uid="{0B7E7EE1-5D7B-0443-B78A-9A60CE95DDD5}">
      <text>
        <t>[Threaded comment]
Your version of Excel allows you to read this threaded comment; however, any edits to it will get removed if the file is opened in a newer version of Excel. Learn more: https://go.microsoft.com/fwlink/?linkid=870924
Comment:
    Iron rods and biding wire total is 91,075 but they deducted 75 to make 91,000</t>
      </text>
    </comment>
    <comment ref="D93" authorId="1" shapeId="0" xr:uid="{A6062B27-FD31-0D47-B9E9-E33D25084D7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amount is 75 but Bubacarr gave 100 because he can find change for 75.</t>
      </text>
    </comment>
    <comment ref="B107" authorId="2" shapeId="0" xr:uid="{1E17852B-D4DA-6F44-97C8-4989346ED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146 bags of cement </t>
      </text>
    </comment>
    <comment ref="D107" authorId="3" shapeId="0" xr:uid="{D7AF5D36-D9C3-824C-8254-30990DB6C6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total price is 22,248. But he gave them 22,250 because no change for 2 dalasis</t>
      </text>
    </comment>
    <comment ref="D120" authorId="4" shapeId="0" xr:uid="{6046C7E2-1477-4542-BED9-FEC4731B47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a sand blocking the way. So they increased the transport to D30 from D20</t>
      </text>
    </comment>
    <comment ref="D196" authorId="5" shapeId="0" xr:uid="{3A274E3B-CF2A-DA40-9682-8BC13F430281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240 but wasn’t able to find change so it becomes 250</t>
      </text>
    </comment>
    <comment ref="D197" authorId="6" shapeId="0" xr:uid="{1FDD5676-FFD6-3A4C-980B-EDFFBC5A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should be 6240 but it is 6250</t>
      </text>
    </comment>
    <comment ref="D239" authorId="7" shapeId="0" xr:uid="{1936A213-DD95-A546-9B72-DAAB3EBF115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requested to give D75 to add to the pipes transportation.</t>
      </text>
    </comment>
    <comment ref="D312" authorId="8" shapeId="0" xr:uid="{94D8BC24-9167-B248-B64C-3ABC3FAC55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change for D25. Total now with the transport is now D1850</t>
      </text>
    </comment>
  </commentList>
</comments>
</file>

<file path=xl/sharedStrings.xml><?xml version="1.0" encoding="utf-8"?>
<sst xmlns="http://schemas.openxmlformats.org/spreadsheetml/2006/main" count="745" uniqueCount="451">
  <si>
    <t>PARADISE VIEW LAND EXPENDITURES</t>
  </si>
  <si>
    <t xml:space="preserve">              LAND COST</t>
  </si>
  <si>
    <t>ITEM</t>
  </si>
  <si>
    <t>COST(D)</t>
  </si>
  <si>
    <t xml:space="preserve">COST($) </t>
  </si>
  <si>
    <t>DATE</t>
  </si>
  <si>
    <t>Paradise View Plot: 20m x 25m</t>
  </si>
  <si>
    <t>REGISTRATION FEES</t>
  </si>
  <si>
    <t xml:space="preserve">COST(D) </t>
  </si>
  <si>
    <t>Physical Plan 1</t>
  </si>
  <si>
    <t>Physical Plan 2</t>
  </si>
  <si>
    <t>MoneyTra Fee</t>
  </si>
  <si>
    <t>GTBank Fee</t>
  </si>
  <si>
    <t>Gas for Car</t>
  </si>
  <si>
    <t xml:space="preserve">Chief Area Council </t>
  </si>
  <si>
    <t>Lady Filled Forms</t>
  </si>
  <si>
    <t>Sukuta Alkalo</t>
  </si>
  <si>
    <t>Gas</t>
  </si>
  <si>
    <t>Total</t>
  </si>
  <si>
    <t>1 Dollar = 49 Dalasis</t>
  </si>
  <si>
    <t>PARADISE VIEW</t>
  </si>
  <si>
    <t xml:space="preserve">             FENCING EXPENSES</t>
  </si>
  <si>
    <t xml:space="preserve">QUANTITY </t>
  </si>
  <si>
    <t>UNIT PRICE(D)</t>
  </si>
  <si>
    <t>TOTAL COST(D)</t>
  </si>
  <si>
    <t>TOTAL($)</t>
  </si>
  <si>
    <t>Cutting Trees</t>
  </si>
  <si>
    <t>Big Trip of Sand</t>
  </si>
  <si>
    <t>Small Trip of Sand</t>
  </si>
  <si>
    <t xml:space="preserve">Cement </t>
  </si>
  <si>
    <t xml:space="preserve">Cement Transport </t>
  </si>
  <si>
    <t>Wheelbarrow Rental</t>
  </si>
  <si>
    <t>Molding Bricks</t>
  </si>
  <si>
    <t xml:space="preserve">Water for Molding </t>
  </si>
  <si>
    <t xml:space="preserve">Gas for Transport </t>
  </si>
  <si>
    <t xml:space="preserve">Police Ticket </t>
  </si>
  <si>
    <t xml:space="preserve">Trip of Pebbles </t>
  </si>
  <si>
    <t>Papa Jara Transport</t>
  </si>
  <si>
    <t>Iron Rods</t>
  </si>
  <si>
    <t>—</t>
  </si>
  <si>
    <t xml:space="preserve">Iron Rods Transport </t>
  </si>
  <si>
    <t xml:space="preserve">Electric Pipes </t>
  </si>
  <si>
    <t>Wire for Pillar Board</t>
  </si>
  <si>
    <t>Kilo of Nales</t>
  </si>
  <si>
    <t xml:space="preserve">Taxi Fare </t>
  </si>
  <si>
    <t>Pillar Boardrent 2Ds</t>
  </si>
  <si>
    <t>Pillar Iron Rods</t>
  </si>
  <si>
    <t xml:space="preserve">Pillar Mold Rental </t>
  </si>
  <si>
    <t xml:space="preserve">Pillar Board Rental </t>
  </si>
  <si>
    <t>Pillar &amp; Board Trasp</t>
  </si>
  <si>
    <t>Pillar Pebbel</t>
  </si>
  <si>
    <t>Pillar Pebbel Trasport</t>
  </si>
  <si>
    <t>Lock for Gate</t>
  </si>
  <si>
    <t>Gate</t>
  </si>
  <si>
    <t>Fence Building Fee</t>
  </si>
  <si>
    <t xml:space="preserve">Water for Fencing </t>
  </si>
  <si>
    <t xml:space="preserve">Finishing </t>
  </si>
  <si>
    <t>Money Transfer Fee</t>
  </si>
  <si>
    <t xml:space="preserve">  OTHER EXPENSES </t>
  </si>
  <si>
    <t>WHO</t>
  </si>
  <si>
    <t>AMOUNT(D)</t>
  </si>
  <si>
    <t>AMOUNT($)</t>
  </si>
  <si>
    <t>Papa jara</t>
  </si>
  <si>
    <t>Bubacarr Fai</t>
  </si>
  <si>
    <t xml:space="preserve">Papa Jara </t>
  </si>
  <si>
    <t xml:space="preserve">PLOT PREPARATION FOR MOLDING EXPENSES </t>
  </si>
  <si>
    <t>COST($)</t>
  </si>
  <si>
    <t>$100 Transfer Fee</t>
  </si>
  <si>
    <t>Clearing Plot</t>
  </si>
  <si>
    <t>1 Dollar = 50 Dalasis</t>
  </si>
  <si>
    <t xml:space="preserve">BRICK MOLDING EXPENSES </t>
  </si>
  <si>
    <t>$1,000 Transfer Fee</t>
  </si>
  <si>
    <t>Cement Transport</t>
  </si>
  <si>
    <t xml:space="preserve">Wheelbarrow </t>
  </si>
  <si>
    <t xml:space="preserve">50m Hose/Pipe </t>
  </si>
  <si>
    <t xml:space="preserve">Small Bucket </t>
  </si>
  <si>
    <t>Big Sand Trip</t>
  </si>
  <si>
    <t xml:space="preserve">Small Tank </t>
  </si>
  <si>
    <t>D1,500 missing from the D50,000</t>
  </si>
  <si>
    <t>Cement Watchman</t>
  </si>
  <si>
    <t xml:space="preserve">Gasoline </t>
  </si>
  <si>
    <t xml:space="preserve">Missing </t>
  </si>
  <si>
    <t>—-</t>
  </si>
  <si>
    <t>D1,000 given to Kasaru</t>
  </si>
  <si>
    <t xml:space="preserve">Wheelbarrow Tire </t>
  </si>
  <si>
    <t xml:space="preserve">Big Sand Trip </t>
  </si>
  <si>
    <t xml:space="preserve">Bricks Payment </t>
  </si>
  <si>
    <t xml:space="preserve">Over Payment </t>
  </si>
  <si>
    <t>6Wheel Sand Trip</t>
  </si>
  <si>
    <t xml:space="preserve">Bricks payment </t>
  </si>
  <si>
    <t>Needs To Be Determined</t>
  </si>
  <si>
    <t>.---</t>
  </si>
  <si>
    <t>.----</t>
  </si>
  <si>
    <t xml:space="preserve">                                       BOREHOLE DRILLING AND GUARD/STORAGE ROOMS EXPENSES</t>
  </si>
  <si>
    <t>STARTED($)</t>
  </si>
  <si>
    <t>STARTED(D)</t>
  </si>
  <si>
    <t>Bore Drilling</t>
  </si>
  <si>
    <t>Carpenter</t>
  </si>
  <si>
    <t>Kaye Rod</t>
  </si>
  <si>
    <t>Polycarbonate Roof Panel(Packs)</t>
  </si>
  <si>
    <t>Big Nale(kg)</t>
  </si>
  <si>
    <t>Small Nale(Packs)</t>
  </si>
  <si>
    <t>Wood for Doors</t>
  </si>
  <si>
    <t>Cutting Mango Branch and Moving Bricks</t>
  </si>
  <si>
    <t>Delivering Guys</t>
  </si>
  <si>
    <t>LEFT FROM 126,000</t>
  </si>
  <si>
    <t>Leftover</t>
  </si>
  <si>
    <t>1 Dollar = 63 Dalasis</t>
  </si>
  <si>
    <t>Contractors Consultation: Construction cost</t>
  </si>
  <si>
    <t>Consulting Contractors</t>
  </si>
  <si>
    <t>1 Dollar = 61.5 Dalasis</t>
  </si>
  <si>
    <t>Preparing Land for Construction</t>
  </si>
  <si>
    <t>D12,000 sent on 12/20/23</t>
  </si>
  <si>
    <t>Clearing the Area</t>
  </si>
  <si>
    <t xml:space="preserve">Transportation </t>
  </si>
  <si>
    <t>Sent D64000 on 12/24/2023 that is $100</t>
  </si>
  <si>
    <t>1 Dollar = 64 Dalasis</t>
  </si>
  <si>
    <t xml:space="preserve">Other Expenses </t>
  </si>
  <si>
    <t xml:space="preserve">              Construction Cost</t>
  </si>
  <si>
    <t>TOTAL COST($)</t>
  </si>
  <si>
    <t>Date</t>
  </si>
  <si>
    <t>1 by 2 wood</t>
  </si>
  <si>
    <t>Wooden Pake</t>
  </si>
  <si>
    <t xml:space="preserve">3 Inches Nale(kg) </t>
  </si>
  <si>
    <t>D50 each for D525 for 15 pieces but he let it be D35 each for 500 for peakes</t>
  </si>
  <si>
    <t xml:space="preserve">2 and half Inches Nale(kg) </t>
  </si>
  <si>
    <t xml:space="preserve">Materials Transportation </t>
  </si>
  <si>
    <t>50m Water hose is 1800 but got it 1500</t>
  </si>
  <si>
    <t>Floor Plan Copy/Laminating</t>
  </si>
  <si>
    <t>50m Water Hose/Pipe</t>
  </si>
  <si>
    <t>Iron Rod(12mm)</t>
  </si>
  <si>
    <t>Iron Rod(6mm)</t>
  </si>
  <si>
    <t>Cement</t>
  </si>
  <si>
    <t>Binding Wire(Bundle)</t>
  </si>
  <si>
    <t>Sand(10 Wheels)</t>
  </si>
  <si>
    <t xml:space="preserve">Clean Pebble(10 Wheels) </t>
  </si>
  <si>
    <t>Sulaiman Juwara(Contractor)</t>
  </si>
  <si>
    <t xml:space="preserve">Bubacar Fai Payment </t>
  </si>
  <si>
    <t>Asphalt Stones(double trip)</t>
  </si>
  <si>
    <t xml:space="preserve">Cement For Guard's Room </t>
  </si>
  <si>
    <t>Transport(Cements)</t>
  </si>
  <si>
    <t xml:space="preserve">Guard's Room Fl Concrete </t>
  </si>
  <si>
    <t xml:space="preserve">Mattress </t>
  </si>
  <si>
    <t xml:space="preserve">Mattress Transport </t>
  </si>
  <si>
    <t xml:space="preserve">Machete Knife </t>
  </si>
  <si>
    <t>Lock</t>
  </si>
  <si>
    <t>Kettle and Prayer Mat</t>
  </si>
  <si>
    <t>Chain For Door(1m)</t>
  </si>
  <si>
    <t>Slide Bolt Lock</t>
  </si>
  <si>
    <t xml:space="preserve">Flashlight with Battery </t>
  </si>
  <si>
    <t xml:space="preserve">Carpenter for Locks </t>
  </si>
  <si>
    <t xml:space="preserve">Borehole Reinstallation </t>
  </si>
  <si>
    <t>Guard Room Door locks</t>
  </si>
  <si>
    <t xml:space="preserve">Carpenter </t>
  </si>
  <si>
    <t>Tap Head</t>
  </si>
  <si>
    <t>Generator Transport</t>
  </si>
  <si>
    <t>1 by 12 Wood</t>
  </si>
  <si>
    <t xml:space="preserve">1 by 12 Wood Transport </t>
  </si>
  <si>
    <t xml:space="preserve">Generator </t>
  </si>
  <si>
    <t xml:space="preserve">Generator Transport </t>
  </si>
  <si>
    <t xml:space="preserve">Gas for the Generator </t>
  </si>
  <si>
    <t>Momo Waggeh</t>
  </si>
  <si>
    <t>Rice(50kg) for Momo Waggeh</t>
  </si>
  <si>
    <t>1 by 2 Wood</t>
  </si>
  <si>
    <t xml:space="preserve">Plywood(12mm) </t>
  </si>
  <si>
    <t xml:space="preserve">Splitting 12mm plywood </t>
  </si>
  <si>
    <t xml:space="preserve">12mm plywood Transport </t>
  </si>
  <si>
    <t xml:space="preserve">Momo Waggeh Salary (March) </t>
  </si>
  <si>
    <t>Nail(kg)</t>
  </si>
  <si>
    <t>PS 10mm Iron Rod</t>
  </si>
  <si>
    <t>Binding Wire+IronRod Trans</t>
  </si>
  <si>
    <t>Workers Ramadan Gift</t>
  </si>
  <si>
    <t xml:space="preserve">6mm Transport </t>
  </si>
  <si>
    <t xml:space="preserve">Gas + Nails </t>
  </si>
  <si>
    <t>3/13-23/24</t>
  </si>
  <si>
    <t>BCF Ramadan</t>
  </si>
  <si>
    <t>Iron Rod(10mm)</t>
  </si>
  <si>
    <t>PS 6mm Iron Rod</t>
  </si>
  <si>
    <t>Iron Rod + Binding Wire Trans</t>
  </si>
  <si>
    <t>Timber for Sappo</t>
  </si>
  <si>
    <t xml:space="preserve">Timber Transport </t>
  </si>
  <si>
    <t>Momo Waggeh Salary (April)</t>
  </si>
  <si>
    <t>Nail(kg) 3"</t>
  </si>
  <si>
    <t>Nail(kg) 2 1/2"</t>
  </si>
  <si>
    <t>Timber 1 by 6</t>
  </si>
  <si>
    <t xml:space="preserve">Timber 1 by 6 Transport </t>
  </si>
  <si>
    <t xml:space="preserve">Wheelbarrow Maintenance </t>
  </si>
  <si>
    <t>Momo Waggeh Salary(advanced)</t>
  </si>
  <si>
    <t>Moving Sand from the Yard(1st)</t>
  </si>
  <si>
    <t>Moving Sand from the Yard(2nd)</t>
  </si>
  <si>
    <t>Moving Sand from the Yard(3rd)</t>
  </si>
  <si>
    <t>Moving Sand from the Yard(4th)</t>
  </si>
  <si>
    <t>Tape Head</t>
  </si>
  <si>
    <t>Tape Cover</t>
  </si>
  <si>
    <t>Lock for Tape Cover</t>
  </si>
  <si>
    <t xml:space="preserve">Generator Leaking Repair + Trans </t>
  </si>
  <si>
    <t>Generator Repair + Gas</t>
  </si>
  <si>
    <t xml:space="preserve">Oil for Generator </t>
  </si>
  <si>
    <t xml:space="preserve">Watering the Bricks </t>
  </si>
  <si>
    <t xml:space="preserve">Bricks Molding </t>
  </si>
  <si>
    <t>Sadaqa</t>
  </si>
  <si>
    <t xml:space="preserve">Sulaiman Juwarra 2nd Payment </t>
  </si>
  <si>
    <t>Balancing took place</t>
  </si>
  <si>
    <t xml:space="preserve">Counting starts </t>
  </si>
  <si>
    <t xml:space="preserve">Cement + Rods Transport </t>
  </si>
  <si>
    <t xml:space="preserve">Bubacar Fai Advance Payment </t>
  </si>
  <si>
    <t xml:space="preserve">Momo Waggeh Salary (June) </t>
  </si>
  <si>
    <t>Momo Waggeh Salary (July)</t>
  </si>
  <si>
    <t>Soft Plywood 6m</t>
  </si>
  <si>
    <t xml:space="preserve">Plywood + Nail Transport </t>
  </si>
  <si>
    <t>1 by 6 Timber</t>
  </si>
  <si>
    <t xml:space="preserve">Cardboard </t>
  </si>
  <si>
    <t xml:space="preserve">1by6 &amp; 1x2 Transport </t>
  </si>
  <si>
    <t xml:space="preserve">Momo Waggeh Salary (Aug) </t>
  </si>
  <si>
    <t>Momo Waggeh arranging Bricks</t>
  </si>
  <si>
    <t xml:space="preserve">Momo Waggeh Salary (Sept) </t>
  </si>
  <si>
    <t>Zakaat</t>
  </si>
  <si>
    <t>Sulaiman Juwara 3rd Payment</t>
  </si>
  <si>
    <t>Iron Rod Transport</t>
  </si>
  <si>
    <t>Asphalt Stones(10 wheel)</t>
  </si>
  <si>
    <t>Generator Repair</t>
  </si>
  <si>
    <t>Momo Waggeh Salary(Oct)</t>
  </si>
  <si>
    <t xml:space="preserve">12mm Plywood </t>
  </si>
  <si>
    <t>Nail(kg) 2"</t>
  </si>
  <si>
    <t>1x2 Wood</t>
  </si>
  <si>
    <t>1x6 Wood</t>
  </si>
  <si>
    <t xml:space="preserve">Wood Transport </t>
  </si>
  <si>
    <t>Lock for Storage Room</t>
  </si>
  <si>
    <t xml:space="preserve">5 Bags Brick Molding </t>
  </si>
  <si>
    <t>Oil for Pilar Mold</t>
  </si>
  <si>
    <t>Sand(Single)</t>
  </si>
  <si>
    <t>Bani Israel</t>
  </si>
  <si>
    <t>Pilar Mold + Bani Israel Transport</t>
  </si>
  <si>
    <t>Tea for Workers</t>
  </si>
  <si>
    <t>2 Pilar Mold Rental(Days)</t>
  </si>
  <si>
    <t xml:space="preserve">Momo Waggeh Salary (Nov) </t>
  </si>
  <si>
    <t>Plywood(12mm)</t>
  </si>
  <si>
    <t>Iron(10mm)</t>
  </si>
  <si>
    <t xml:space="preserve">Material Transport </t>
  </si>
  <si>
    <t>Clearing for Backfilling</t>
  </si>
  <si>
    <t>Sokaway Brick Molding</t>
  </si>
  <si>
    <t xml:space="preserve">1st Sokaway Digger </t>
  </si>
  <si>
    <t>2nd Sokaway Digger</t>
  </si>
  <si>
    <t>2nd Soakaway Digger</t>
  </si>
  <si>
    <t>For Buba Tunkara</t>
  </si>
  <si>
    <t xml:space="preserve">Momo Waggeh Salary (Dec) </t>
  </si>
  <si>
    <t xml:space="preserve">Manganasy uprooting </t>
  </si>
  <si>
    <t xml:space="preserve">Momo Waggeh Salary (Jan) </t>
  </si>
  <si>
    <t xml:space="preserve">Buba Boys Backfilling </t>
  </si>
  <si>
    <t>3rd Soakaway Digger</t>
  </si>
  <si>
    <t>Momo Waggeh Salary(Feb)</t>
  </si>
  <si>
    <t xml:space="preserve">Wheelbarrow Transport </t>
  </si>
  <si>
    <t>Gas Putting water on the floors</t>
  </si>
  <si>
    <t>Gravel(10 Wheels)</t>
  </si>
  <si>
    <t>Spreading(Backfilling) 10 Wheel</t>
  </si>
  <si>
    <t>Nina Faye Ramadan</t>
  </si>
  <si>
    <t>Momo Waggeh Ramadan/watering</t>
  </si>
  <si>
    <t>125mm Pipe</t>
  </si>
  <si>
    <t>110mm Pipe</t>
  </si>
  <si>
    <t>75mm Pipe</t>
  </si>
  <si>
    <t>50mm Pipe</t>
  </si>
  <si>
    <t>125mm x 110mm Pipe</t>
  </si>
  <si>
    <t>110mm Tree Pipe</t>
  </si>
  <si>
    <t>110mm Elbow Pipe</t>
  </si>
  <si>
    <t>110mm x 75mm Pipe</t>
  </si>
  <si>
    <t>110mm Bends Pipe</t>
  </si>
  <si>
    <t>75mm Tree Pipe</t>
  </si>
  <si>
    <t>75mm Elbow Pipe</t>
  </si>
  <si>
    <t>75mm Bends pipe</t>
  </si>
  <si>
    <t>75mm x 50mm Pipe</t>
  </si>
  <si>
    <t>50mm Elbow Pipe</t>
  </si>
  <si>
    <t>Tango Glue</t>
  </si>
  <si>
    <t>Pipes Transport</t>
  </si>
  <si>
    <t xml:space="preserve">Pebbles </t>
  </si>
  <si>
    <t>Cement  Transport</t>
  </si>
  <si>
    <t xml:space="preserve"> Sokaway Building 1st Payment </t>
  </si>
  <si>
    <t>Asphalt Stones(Single)</t>
  </si>
  <si>
    <t xml:space="preserve">Momo Waggeh Salary (April) </t>
  </si>
  <si>
    <t>6 Bags brick molding</t>
  </si>
  <si>
    <t xml:space="preserve">4 Bags Brick Molding </t>
  </si>
  <si>
    <t>2/3 Timber Rental(30 Days)</t>
  </si>
  <si>
    <t>Plywood(12mm) Rental(30 Days)</t>
  </si>
  <si>
    <t>AcroJack Tental(30 Days)</t>
  </si>
  <si>
    <t>1/2 Timber</t>
  </si>
  <si>
    <t>Concrete Nails(kg)</t>
  </si>
  <si>
    <t>Sister</t>
  </si>
  <si>
    <t xml:space="preserve">Total </t>
  </si>
  <si>
    <t>Left</t>
  </si>
  <si>
    <t>Nail(kg) 6"</t>
  </si>
  <si>
    <t>Awa</t>
  </si>
  <si>
    <t>Nail(kg) 4"</t>
  </si>
  <si>
    <t>Tata</t>
  </si>
  <si>
    <t xml:space="preserve">Concrete Nail(pack) </t>
  </si>
  <si>
    <t>Pick Axe</t>
  </si>
  <si>
    <t xml:space="preserve">Putting Sand Soakaway side </t>
  </si>
  <si>
    <t>Palm Tree Wood</t>
  </si>
  <si>
    <t>palm Tree Wood Transport</t>
  </si>
  <si>
    <t>1/2 Wood</t>
  </si>
  <si>
    <t>Boy Helped with 1/2 Wood Trspt</t>
  </si>
  <si>
    <t>Soakaway Building finally Payment</t>
  </si>
  <si>
    <t>2/3 Timber Rental(25 Days)</t>
  </si>
  <si>
    <t>2/3 Timber Trasport</t>
  </si>
  <si>
    <t xml:space="preserve">12mm Plywood(Soft) </t>
  </si>
  <si>
    <t xml:space="preserve">12mm Plywood Transport </t>
  </si>
  <si>
    <t>Plywood(12mm) Rental(25 Days)</t>
  </si>
  <si>
    <t>1/2 wood</t>
  </si>
  <si>
    <t xml:space="preserve">——2nd Floor Plan Consultation(gas) </t>
  </si>
  <si>
    <t>AcroJack Tental(24 Days)</t>
  </si>
  <si>
    <t>Plywood(12mm) Rental(24 Days)</t>
  </si>
  <si>
    <t xml:space="preserve">Acrojack+Plywood Transport </t>
  </si>
  <si>
    <t xml:space="preserve">Nail 2"(pack) </t>
  </si>
  <si>
    <t>2/3 Timber Rental(23 Days)</t>
  </si>
  <si>
    <t>—-Sand(10Wheel)</t>
  </si>
  <si>
    <t xml:space="preserve">3 Pilars Payment </t>
  </si>
  <si>
    <t>——-Sand(10Wheel)</t>
  </si>
  <si>
    <t>———Sand Wave Fee</t>
  </si>
  <si>
    <t>——-Gas for Generator</t>
  </si>
  <si>
    <t>——Sand(10Wheel)</t>
  </si>
  <si>
    <t>Nail(concrete)</t>
  </si>
  <si>
    <t xml:space="preserve">AcroJack Rental(19 Days) </t>
  </si>
  <si>
    <t xml:space="preserve">Acrojack Transport </t>
  </si>
  <si>
    <t>Plywood Rental(2 Days)-Concrete Side</t>
  </si>
  <si>
    <t xml:space="preserve">Plywood Transport </t>
  </si>
  <si>
    <t xml:space="preserve">Plywood Return Transport </t>
  </si>
  <si>
    <t xml:space="preserve">No change BuwaFaye Balance </t>
  </si>
  <si>
    <t xml:space="preserve">Other -Miscalculation </t>
  </si>
  <si>
    <t xml:space="preserve">Momo Waggeh Salary (May) </t>
  </si>
  <si>
    <t>——Momo Waggeh-putting sand inside</t>
  </si>
  <si>
    <t>AcroJack Tental(5 Days)</t>
  </si>
  <si>
    <t>Plywood(12mm) Rental(5 Days)</t>
  </si>
  <si>
    <t>2/3 Timber Rental(5 Days)</t>
  </si>
  <si>
    <t>12mm Iron Rod(Turkey)</t>
  </si>
  <si>
    <t>10mm Iron Rod(Turkey)</t>
  </si>
  <si>
    <t>6mm Iron Rod</t>
  </si>
  <si>
    <t>100, 55, 163, 1000, 35, 25</t>
  </si>
  <si>
    <t>Asphalt Stone(22 cubic)</t>
  </si>
  <si>
    <t>Sand(10 Wheel)</t>
  </si>
  <si>
    <t>Stone(10 Wheel)</t>
  </si>
  <si>
    <t xml:space="preserve">Generator Rope repair </t>
  </si>
  <si>
    <t>Sulayman Juwara 4th Payment</t>
  </si>
  <si>
    <t>Workers' Lunch for Concreting Day</t>
  </si>
  <si>
    <t>Stone(10 Wheels)</t>
  </si>
  <si>
    <t>Momo Waggeh Watering</t>
  </si>
  <si>
    <t>Momo Waggeh Salary(Upto May 7)</t>
  </si>
  <si>
    <t xml:space="preserve">Returning Roof Concrete Materials </t>
  </si>
  <si>
    <t>$5,000 * 67.50 = D337,500</t>
  </si>
  <si>
    <t>From the $5,000</t>
  </si>
  <si>
    <t>1 Dollar = 67.50 Dalasis</t>
  </si>
  <si>
    <t>On 01/03/2024, from Tata</t>
  </si>
  <si>
    <t>$1 = 67.50</t>
  </si>
  <si>
    <t>REMAINING BALANCE =</t>
  </si>
  <si>
    <t>On 1/26/2024, from Tata</t>
  </si>
  <si>
    <t>D5,000 from 135,000 for Mariam School fees. D130,000 given to Bubacarr fai</t>
  </si>
  <si>
    <t xml:space="preserve">On 3/4/2024, from Tata </t>
  </si>
  <si>
    <t>$1 = 68.00</t>
  </si>
  <si>
    <t>On 3/28/2024, from Hawa</t>
  </si>
  <si>
    <t>$1 = 68.20</t>
  </si>
  <si>
    <t>On 4/24/2024, from Hawa</t>
  </si>
  <si>
    <t>$1 = 68.80</t>
  </si>
  <si>
    <t>On 5/27/2024, from Hawa</t>
  </si>
  <si>
    <t>$1 = 69.70</t>
  </si>
  <si>
    <t>On 6/02/24, from Tata</t>
  </si>
  <si>
    <t>$1 = 69.25</t>
  </si>
  <si>
    <t>On 9/17/2024, from Awa</t>
  </si>
  <si>
    <t xml:space="preserve">$1 = D71 </t>
  </si>
  <si>
    <t>On 11/12/2024, from Awa</t>
  </si>
  <si>
    <t>$1 = D71.20</t>
  </si>
  <si>
    <t>On 11/25/24, sent to Buba</t>
  </si>
  <si>
    <t>$1 = D66.75</t>
  </si>
  <si>
    <t>On 1/11/25, sent to Buba</t>
  </si>
  <si>
    <t>$1 = D67.25</t>
  </si>
  <si>
    <t xml:space="preserve">On 1/16/25, sent to Sarjo </t>
  </si>
  <si>
    <t xml:space="preserve">On 1/20/25, sent to sarjo </t>
  </si>
  <si>
    <t>On 3/27/2025, from Awa</t>
  </si>
  <si>
    <t>$1 = D72.25</t>
  </si>
  <si>
    <t>On 4/08/25, from Tata</t>
  </si>
  <si>
    <t>$1 = D72.50</t>
  </si>
  <si>
    <t>On 4/13/25, from me</t>
  </si>
  <si>
    <t>$1 = D72.60</t>
  </si>
  <si>
    <t>On 4/19/25, from me</t>
  </si>
  <si>
    <t>$1 = D72.85</t>
  </si>
  <si>
    <t>On 4/25/25, from me</t>
  </si>
  <si>
    <t>On 5/5/25, from Tata</t>
  </si>
  <si>
    <t xml:space="preserve">TOTAL GIVING = </t>
  </si>
  <si>
    <t xml:space="preserve">REMAINING BALANCE IN HAND </t>
  </si>
  <si>
    <t>76,785 remaining before $3000 added</t>
  </si>
  <si>
    <t>Total Balance after balancing on 5/27/24</t>
  </si>
  <si>
    <t>Amount Spent since balancing</t>
  </si>
  <si>
    <t xml:space="preserve">Remaining Capital after Balancing </t>
  </si>
  <si>
    <t xml:space="preserve"> </t>
  </si>
  <si>
    <t xml:space="preserve">                  2nd Floor Brick Molding</t>
  </si>
  <si>
    <t>Clearing Momo Haja's plot</t>
  </si>
  <si>
    <t xml:space="preserve">2nd Floor Plan Consultation(gas) </t>
  </si>
  <si>
    <t>Sand(10Wheel)</t>
  </si>
  <si>
    <t>Sand Wave Fee</t>
  </si>
  <si>
    <t>Gas for Generator</t>
  </si>
  <si>
    <t>Waggeh-putting sand inside</t>
  </si>
  <si>
    <t>50 meter Hose</t>
  </si>
  <si>
    <t xml:space="preserve">Sand(10Wheel) </t>
  </si>
  <si>
    <t>Wheelbarrow Repair</t>
  </si>
  <si>
    <t>Wheelbarrow Wheel</t>
  </si>
  <si>
    <t>Watering</t>
  </si>
  <si>
    <t xml:space="preserve">Borehole Machine </t>
  </si>
  <si>
    <t>Guard</t>
  </si>
  <si>
    <t>Brick Molding(200x25)</t>
  </si>
  <si>
    <t>Guard Transport during Bricking</t>
  </si>
  <si>
    <t>Watering &amp; Transport</t>
  </si>
  <si>
    <t>2nd Floor Construction Cost</t>
  </si>
  <si>
    <t>Rope for Lifting Bricks</t>
  </si>
  <si>
    <t>Iron Rod 12mm</t>
  </si>
  <si>
    <t>Iron Rod 6mm</t>
  </si>
  <si>
    <t>Wheelbarrow</t>
  </si>
  <si>
    <t>Materials Transpot</t>
  </si>
  <si>
    <t xml:space="preserve">Contractor(Momodou Njai) 1st Payment </t>
  </si>
  <si>
    <t xml:space="preserve">Gas for Generator </t>
  </si>
  <si>
    <t xml:space="preserve">Generator Repair </t>
  </si>
  <si>
    <t xml:space="preserve">Contractor(Momodou Njai) 2nd Payment </t>
  </si>
  <si>
    <t>On 08/26/25, from Tata</t>
  </si>
  <si>
    <t>$1 = 73.50</t>
  </si>
  <si>
    <t>Given</t>
  </si>
  <si>
    <t>On 9/09/25, from Awa</t>
  </si>
  <si>
    <t>On</t>
  </si>
  <si>
    <t>TOTAL GIVING TO DATE</t>
  </si>
  <si>
    <t>Total Amount Spent Since Balancing</t>
  </si>
  <si>
    <t>Fixing Momo Waggeh's Room</t>
  </si>
  <si>
    <t>Chain(2m)</t>
  </si>
  <si>
    <t>Iron Rod 10mm</t>
  </si>
  <si>
    <t>Iron Rods Transport</t>
  </si>
  <si>
    <t>1 by 6</t>
  </si>
  <si>
    <t>Binding Wire(Roll)</t>
  </si>
  <si>
    <t xml:space="preserve">1 by 6 &amp; 12mm Rod Transport </t>
  </si>
  <si>
    <t>Asphalt Stone(19 cubic)</t>
  </si>
  <si>
    <t xml:space="preserve">Up to the 10 course </t>
  </si>
  <si>
    <t>On 9/21/25, from Tata</t>
  </si>
  <si>
    <t>$1 = 73.60</t>
  </si>
  <si>
    <t xml:space="preserve">Contractor(Momodou Njai) 3nd Payment </t>
  </si>
  <si>
    <t>Bucket</t>
  </si>
  <si>
    <t xml:space="preserve">Plywood &amp; 1 by 2 Transport </t>
  </si>
  <si>
    <t>Nail(kg) 1"</t>
  </si>
  <si>
    <t>Splitting Rest of the Plywoods</t>
  </si>
  <si>
    <t>Splitting Plywoods</t>
  </si>
  <si>
    <t xml:space="preserve">Momo Waggeh's Sept Salary </t>
  </si>
  <si>
    <t>Njaye Extra- Transporting Bricks</t>
  </si>
  <si>
    <t>To Buba Tunkara</t>
  </si>
  <si>
    <t>For Bubacarr Faye</t>
  </si>
  <si>
    <t>Total Amount Spent</t>
  </si>
  <si>
    <t>On 10/14/25, from Awa</t>
  </si>
  <si>
    <t>Sand</t>
  </si>
  <si>
    <t xml:space="preserve">Wheelbarrow Repair </t>
  </si>
  <si>
    <t xml:space="preserve">             3rd Floor Brick Molding</t>
  </si>
  <si>
    <t>2/3 timber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</si>
</sst>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[$-F800]dddd\,\ mmmm\ dd\,\ yyyy"/>
    <numFmt numFmtId="166" formatCode="[$$-409]#,##0"/>
    <numFmt numFmtId="167" formatCode="[$$-409]#,##0.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AE8C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5" fillId="0" borderId="0" xfId="0" applyFont="1"/>
    <xf numFmtId="0" fontId="3" fillId="4" borderId="17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4" fillId="5" borderId="1" xfId="0" applyFont="1" applyFill="1" applyBorder="1"/>
    <xf numFmtId="0" fontId="2" fillId="5" borderId="2" xfId="0" applyFont="1" applyFill="1" applyBorder="1"/>
    <xf numFmtId="0" fontId="4" fillId="5" borderId="3" xfId="0" applyFont="1" applyFill="1" applyBorder="1"/>
    <xf numFmtId="0" fontId="2" fillId="5" borderId="19" xfId="0" applyFont="1" applyFill="1" applyBorder="1"/>
    <xf numFmtId="0" fontId="3" fillId="2" borderId="19" xfId="0" applyFont="1" applyFill="1" applyBorder="1"/>
    <xf numFmtId="0" fontId="7" fillId="5" borderId="19" xfId="0" applyFont="1" applyFill="1" applyBorder="1"/>
    <xf numFmtId="0" fontId="7" fillId="5" borderId="10" xfId="0" applyFont="1" applyFill="1" applyBorder="1"/>
    <xf numFmtId="0" fontId="7" fillId="5" borderId="2" xfId="0" applyFont="1" applyFill="1" applyBorder="1"/>
    <xf numFmtId="0" fontId="7" fillId="5" borderId="0" xfId="0" applyFont="1" applyFill="1"/>
    <xf numFmtId="165" fontId="0" fillId="0" borderId="0" xfId="0" applyNumberFormat="1"/>
    <xf numFmtId="14" fontId="3" fillId="2" borderId="19" xfId="0" applyNumberFormat="1" applyFont="1" applyFill="1" applyBorder="1"/>
    <xf numFmtId="4" fontId="0" fillId="0" borderId="0" xfId="0" applyNumberFormat="1"/>
    <xf numFmtId="164" fontId="0" fillId="0" borderId="0" xfId="0" applyNumberFormat="1"/>
    <xf numFmtId="0" fontId="4" fillId="5" borderId="19" xfId="0" applyFont="1" applyFill="1" applyBorder="1"/>
    <xf numFmtId="0" fontId="3" fillId="4" borderId="19" xfId="0" applyFont="1" applyFill="1" applyBorder="1"/>
    <xf numFmtId="0" fontId="3" fillId="9" borderId="17" xfId="0" applyFont="1" applyFill="1" applyBorder="1"/>
    <xf numFmtId="4" fontId="3" fillId="9" borderId="17" xfId="0" applyNumberFormat="1" applyFont="1" applyFill="1" applyBorder="1"/>
    <xf numFmtId="164" fontId="3" fillId="9" borderId="17" xfId="0" applyNumberFormat="1" applyFont="1" applyFill="1" applyBorder="1"/>
    <xf numFmtId="14" fontId="3" fillId="9" borderId="17" xfId="0" applyNumberFormat="1" applyFont="1" applyFill="1" applyBorder="1"/>
    <xf numFmtId="0" fontId="0" fillId="14" borderId="0" xfId="0" applyFill="1"/>
    <xf numFmtId="4" fontId="0" fillId="14" borderId="0" xfId="0" applyNumberFormat="1" applyFill="1"/>
    <xf numFmtId="0" fontId="0" fillId="15" borderId="0" xfId="0" applyFill="1"/>
    <xf numFmtId="8" fontId="0" fillId="0" borderId="0" xfId="0" applyNumberFormat="1"/>
    <xf numFmtId="0" fontId="6" fillId="0" borderId="0" xfId="0" applyFont="1" applyAlignment="1">
      <alignment horizontal="right"/>
    </xf>
    <xf numFmtId="0" fontId="3" fillId="2" borderId="21" xfId="0" applyFont="1" applyFill="1" applyBorder="1"/>
    <xf numFmtId="4" fontId="8" fillId="16" borderId="20" xfId="0" applyNumberFormat="1" applyFont="1" applyFill="1" applyBorder="1"/>
    <xf numFmtId="0" fontId="8" fillId="16" borderId="20" xfId="0" applyFont="1" applyFill="1" applyBorder="1" applyAlignment="1">
      <alignment wrapText="1"/>
    </xf>
    <xf numFmtId="0" fontId="7" fillId="0" borderId="0" xfId="0" applyFont="1"/>
    <xf numFmtId="0" fontId="1" fillId="6" borderId="14" xfId="0" applyFont="1" applyFill="1" applyBorder="1"/>
    <xf numFmtId="0" fontId="9" fillId="17" borderId="19" xfId="0" applyFont="1" applyFill="1" applyBorder="1" applyAlignment="1">
      <alignment wrapText="1"/>
    </xf>
    <xf numFmtId="0" fontId="10" fillId="18" borderId="19" xfId="0" applyFont="1" applyFill="1" applyBorder="1" applyAlignment="1">
      <alignment wrapText="1"/>
    </xf>
    <xf numFmtId="0" fontId="11" fillId="19" borderId="19" xfId="0" applyFont="1" applyFill="1" applyBorder="1" applyAlignment="1">
      <alignment wrapText="1"/>
    </xf>
    <xf numFmtId="4" fontId="11" fillId="19" borderId="19" xfId="0" applyNumberFormat="1" applyFont="1" applyFill="1" applyBorder="1" applyAlignment="1">
      <alignment wrapText="1"/>
    </xf>
    <xf numFmtId="8" fontId="11" fillId="19" borderId="19" xfId="0" applyNumberFormat="1" applyFont="1" applyFill="1" applyBorder="1" applyAlignment="1">
      <alignment wrapText="1"/>
    </xf>
    <xf numFmtId="14" fontId="11" fillId="19" borderId="19" xfId="0" applyNumberFormat="1" applyFont="1" applyFill="1" applyBorder="1" applyAlignment="1">
      <alignment wrapText="1"/>
    </xf>
    <xf numFmtId="0" fontId="11" fillId="20" borderId="19" xfId="0" applyFont="1" applyFill="1" applyBorder="1" applyAlignment="1">
      <alignment wrapText="1"/>
    </xf>
    <xf numFmtId="4" fontId="11" fillId="20" borderId="19" xfId="0" applyNumberFormat="1" applyFont="1" applyFill="1" applyBorder="1" applyAlignment="1">
      <alignment wrapText="1"/>
    </xf>
    <xf numFmtId="8" fontId="11" fillId="20" borderId="19" xfId="0" applyNumberFormat="1" applyFont="1" applyFill="1" applyBorder="1" applyAlignment="1">
      <alignment wrapText="1"/>
    </xf>
    <xf numFmtId="0" fontId="11" fillId="21" borderId="19" xfId="0" applyFont="1" applyFill="1" applyBorder="1" applyAlignment="1">
      <alignment wrapText="1"/>
    </xf>
    <xf numFmtId="4" fontId="1" fillId="9" borderId="17" xfId="0" applyNumberFormat="1" applyFont="1" applyFill="1" applyBorder="1"/>
    <xf numFmtId="4" fontId="1" fillId="3" borderId="17" xfId="0" applyNumberFormat="1" applyFont="1" applyFill="1" applyBorder="1"/>
    <xf numFmtId="164" fontId="1" fillId="9" borderId="17" xfId="0" applyNumberFormat="1" applyFont="1" applyFill="1" applyBorder="1"/>
    <xf numFmtId="14" fontId="1" fillId="9" borderId="17" xfId="0" applyNumberFormat="1" applyFont="1" applyFill="1" applyBorder="1"/>
    <xf numFmtId="0" fontId="1" fillId="9" borderId="17" xfId="0" applyFont="1" applyFill="1" applyBorder="1"/>
    <xf numFmtId="4" fontId="0" fillId="4" borderId="0" xfId="0" applyNumberFormat="1" applyFill="1"/>
    <xf numFmtId="0" fontId="1" fillId="0" borderId="0" xfId="0" applyFont="1"/>
    <xf numFmtId="0" fontId="1" fillId="4" borderId="17" xfId="0" applyFont="1" applyFill="1" applyBorder="1" applyAlignment="1">
      <alignment wrapText="1"/>
    </xf>
    <xf numFmtId="6" fontId="1" fillId="12" borderId="17" xfId="0" applyNumberFormat="1" applyFont="1" applyFill="1" applyBorder="1" applyAlignment="1">
      <alignment wrapText="1"/>
    </xf>
    <xf numFmtId="4" fontId="1" fillId="12" borderId="17" xfId="0" applyNumberFormat="1" applyFont="1" applyFill="1" applyBorder="1" applyAlignment="1">
      <alignment wrapText="1"/>
    </xf>
    <xf numFmtId="8" fontId="1" fillId="12" borderId="17" xfId="0" applyNumberFormat="1" applyFont="1" applyFill="1" applyBorder="1" applyAlignment="1">
      <alignment wrapText="1"/>
    </xf>
    <xf numFmtId="14" fontId="1" fillId="12" borderId="17" xfId="0" applyNumberFormat="1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7" borderId="17" xfId="0" applyFont="1" applyFill="1" applyBorder="1"/>
    <xf numFmtId="4" fontId="1" fillId="7" borderId="17" xfId="0" applyNumberFormat="1" applyFont="1" applyFill="1" applyBorder="1"/>
    <xf numFmtId="164" fontId="1" fillId="7" borderId="17" xfId="0" applyNumberFormat="1" applyFont="1" applyFill="1" applyBorder="1"/>
    <xf numFmtId="14" fontId="1" fillId="7" borderId="17" xfId="0" applyNumberFormat="1" applyFont="1" applyFill="1" applyBorder="1"/>
    <xf numFmtId="0" fontId="1" fillId="7" borderId="4" xfId="0" applyFont="1" applyFill="1" applyBorder="1"/>
    <xf numFmtId="0" fontId="1" fillId="7" borderId="0" xfId="0" applyFont="1" applyFill="1"/>
    <xf numFmtId="0" fontId="1" fillId="7" borderId="5" xfId="0" applyFont="1" applyFill="1" applyBorder="1"/>
    <xf numFmtId="0" fontId="1" fillId="3" borderId="4" xfId="0" applyFont="1" applyFill="1" applyBorder="1"/>
    <xf numFmtId="4" fontId="1" fillId="3" borderId="0" xfId="0" applyNumberFormat="1" applyFont="1" applyFill="1"/>
    <xf numFmtId="164" fontId="1" fillId="3" borderId="0" xfId="0" applyNumberFormat="1" applyFont="1" applyFill="1"/>
    <xf numFmtId="0" fontId="1" fillId="6" borderId="6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4" fontId="1" fillId="0" borderId="0" xfId="0" applyNumberFormat="1" applyFont="1"/>
    <xf numFmtId="164" fontId="1" fillId="0" borderId="0" xfId="0" applyNumberFormat="1" applyFont="1"/>
    <xf numFmtId="0" fontId="1" fillId="8" borderId="18" xfId="0" applyFont="1" applyFill="1" applyBorder="1"/>
    <xf numFmtId="4" fontId="1" fillId="8" borderId="18" xfId="0" applyNumberFormat="1" applyFont="1" applyFill="1" applyBorder="1"/>
    <xf numFmtId="164" fontId="1" fillId="8" borderId="18" xfId="0" applyNumberFormat="1" applyFont="1" applyFill="1" applyBorder="1"/>
    <xf numFmtId="14" fontId="1" fillId="8" borderId="18" xfId="0" applyNumberFormat="1" applyFont="1" applyFill="1" applyBorder="1"/>
    <xf numFmtId="0" fontId="1" fillId="8" borderId="17" xfId="0" applyFont="1" applyFill="1" applyBorder="1"/>
    <xf numFmtId="4" fontId="1" fillId="8" borderId="17" xfId="0" applyNumberFormat="1" applyFont="1" applyFill="1" applyBorder="1"/>
    <xf numFmtId="164" fontId="1" fillId="8" borderId="17" xfId="0" applyNumberFormat="1" applyFont="1" applyFill="1" applyBorder="1"/>
    <xf numFmtId="14" fontId="1" fillId="8" borderId="17" xfId="0" applyNumberFormat="1" applyFont="1" applyFill="1" applyBorder="1"/>
    <xf numFmtId="0" fontId="1" fillId="8" borderId="12" xfId="0" applyFont="1" applyFill="1" applyBorder="1"/>
    <xf numFmtId="0" fontId="1" fillId="8" borderId="0" xfId="0" applyFont="1" applyFill="1"/>
    <xf numFmtId="4" fontId="1" fillId="8" borderId="0" xfId="0" applyNumberFormat="1" applyFont="1" applyFill="1"/>
    <xf numFmtId="0" fontId="1" fillId="8" borderId="13" xfId="0" applyFont="1" applyFill="1" applyBorder="1"/>
    <xf numFmtId="0" fontId="1" fillId="3" borderId="12" xfId="0" applyFont="1" applyFill="1" applyBorder="1"/>
    <xf numFmtId="0" fontId="1" fillId="3" borderId="0" xfId="0" applyFont="1" applyFill="1"/>
    <xf numFmtId="4" fontId="1" fillId="8" borderId="13" xfId="0" applyNumberFormat="1" applyFont="1" applyFill="1" applyBorder="1"/>
    <xf numFmtId="3" fontId="1" fillId="0" borderId="0" xfId="0" applyNumberFormat="1" applyFont="1"/>
    <xf numFmtId="0" fontId="1" fillId="8" borderId="15" xfId="0" applyFont="1" applyFill="1" applyBorder="1"/>
    <xf numFmtId="0" fontId="1" fillId="8" borderId="16" xfId="0" applyFont="1" applyFill="1" applyBorder="1"/>
    <xf numFmtId="3" fontId="1" fillId="11" borderId="19" xfId="0" applyNumberFormat="1" applyFont="1" applyFill="1" applyBorder="1"/>
    <xf numFmtId="4" fontId="1" fillId="11" borderId="19" xfId="0" applyNumberFormat="1" applyFont="1" applyFill="1" applyBorder="1"/>
    <xf numFmtId="164" fontId="1" fillId="11" borderId="19" xfId="0" applyNumberFormat="1" applyFont="1" applyFill="1" applyBorder="1"/>
    <xf numFmtId="14" fontId="1" fillId="11" borderId="19" xfId="0" applyNumberFormat="1" applyFont="1" applyFill="1" applyBorder="1"/>
    <xf numFmtId="0" fontId="1" fillId="11" borderId="19" xfId="0" applyFont="1" applyFill="1" applyBorder="1"/>
    <xf numFmtId="0" fontId="1" fillId="3" borderId="19" xfId="0" applyFont="1" applyFill="1" applyBorder="1"/>
    <xf numFmtId="4" fontId="1" fillId="3" borderId="19" xfId="0" applyNumberFormat="1" applyFont="1" applyFill="1" applyBorder="1"/>
    <xf numFmtId="164" fontId="1" fillId="3" borderId="19" xfId="0" applyNumberFormat="1" applyFont="1" applyFill="1" applyBorder="1"/>
    <xf numFmtId="0" fontId="1" fillId="6" borderId="19" xfId="0" applyFont="1" applyFill="1" applyBorder="1"/>
    <xf numFmtId="3" fontId="1" fillId="9" borderId="17" xfId="0" applyNumberFormat="1" applyFont="1" applyFill="1" applyBorder="1"/>
    <xf numFmtId="0" fontId="1" fillId="3" borderId="17" xfId="0" applyFont="1" applyFill="1" applyBorder="1"/>
    <xf numFmtId="164" fontId="1" fillId="3" borderId="17" xfId="0" applyNumberFormat="1" applyFont="1" applyFill="1" applyBorder="1"/>
    <xf numFmtId="0" fontId="1" fillId="9" borderId="12" xfId="0" applyFont="1" applyFill="1" applyBorder="1"/>
    <xf numFmtId="0" fontId="1" fillId="9" borderId="0" xfId="0" applyFont="1" applyFill="1"/>
    <xf numFmtId="3" fontId="1" fillId="9" borderId="0" xfId="0" applyNumberFormat="1" applyFont="1" applyFill="1"/>
    <xf numFmtId="0" fontId="1" fillId="9" borderId="13" xfId="0" applyFont="1" applyFill="1" applyBorder="1"/>
    <xf numFmtId="0" fontId="1" fillId="9" borderId="15" xfId="0" applyFont="1" applyFill="1" applyBorder="1"/>
    <xf numFmtId="0" fontId="1" fillId="9" borderId="16" xfId="0" applyFont="1" applyFill="1" applyBorder="1"/>
    <xf numFmtId="0" fontId="1" fillId="10" borderId="19" xfId="0" applyFont="1" applyFill="1" applyBorder="1"/>
    <xf numFmtId="3" fontId="1" fillId="10" borderId="19" xfId="0" applyNumberFormat="1" applyFont="1" applyFill="1" applyBorder="1"/>
    <xf numFmtId="4" fontId="1" fillId="10" borderId="19" xfId="0" applyNumberFormat="1" applyFont="1" applyFill="1" applyBorder="1"/>
    <xf numFmtId="164" fontId="1" fillId="10" borderId="19" xfId="0" applyNumberFormat="1" applyFont="1" applyFill="1" applyBorder="1"/>
    <xf numFmtId="14" fontId="1" fillId="10" borderId="19" xfId="0" applyNumberFormat="1" applyFont="1" applyFill="1" applyBorder="1"/>
    <xf numFmtId="0" fontId="1" fillId="5" borderId="0" xfId="0" applyFont="1" applyFill="1"/>
    <xf numFmtId="0" fontId="1" fillId="13" borderId="0" xfId="0" applyFont="1" applyFill="1"/>
    <xf numFmtId="0" fontId="1" fillId="16" borderId="20" xfId="0" applyFont="1" applyFill="1" applyBorder="1"/>
    <xf numFmtId="4" fontId="1" fillId="16" borderId="20" xfId="0" applyNumberFormat="1" applyFont="1" applyFill="1" applyBorder="1"/>
    <xf numFmtId="164" fontId="1" fillId="16" borderId="20" xfId="0" applyNumberFormat="1" applyFont="1" applyFill="1" applyBorder="1"/>
    <xf numFmtId="14" fontId="1" fillId="16" borderId="20" xfId="0" applyNumberFormat="1" applyFont="1" applyFill="1" applyBorder="1"/>
    <xf numFmtId="6" fontId="1" fillId="16" borderId="20" xfId="0" applyNumberFormat="1" applyFont="1" applyFill="1" applyBorder="1"/>
    <xf numFmtId="3" fontId="1" fillId="16" borderId="20" xfId="0" applyNumberFormat="1" applyFont="1" applyFill="1" applyBorder="1"/>
    <xf numFmtId="0" fontId="1" fillId="16" borderId="22" xfId="0" applyFont="1" applyFill="1" applyBorder="1"/>
    <xf numFmtId="0" fontId="1" fillId="16" borderId="0" xfId="0" applyFont="1" applyFill="1"/>
    <xf numFmtId="4" fontId="1" fillId="16" borderId="0" xfId="0" applyNumberFormat="1" applyFont="1" applyFill="1"/>
    <xf numFmtId="0" fontId="1" fillId="16" borderId="23" xfId="0" applyFont="1" applyFill="1" applyBorder="1"/>
    <xf numFmtId="0" fontId="1" fillId="16" borderId="24" xfId="0" applyFont="1" applyFill="1" applyBorder="1"/>
    <xf numFmtId="0" fontId="1" fillId="16" borderId="25" xfId="0" applyFont="1" applyFill="1" applyBorder="1"/>
    <xf numFmtId="4" fontId="1" fillId="16" borderId="25" xfId="0" applyNumberFormat="1" applyFont="1" applyFill="1" applyBorder="1"/>
    <xf numFmtId="0" fontId="1" fillId="16" borderId="26" xfId="0" applyFont="1" applyFill="1" applyBorder="1"/>
    <xf numFmtId="3" fontId="0" fillId="4" borderId="0" xfId="0" applyNumberFormat="1" applyFill="1"/>
    <xf numFmtId="0" fontId="2" fillId="0" borderId="0" xfId="0" applyFont="1"/>
    <xf numFmtId="0" fontId="0" fillId="0" borderId="0" xfId="0" applyAlignment="1">
      <alignment vertical="top"/>
    </xf>
    <xf numFmtId="14" fontId="0" fillId="22" borderId="0" xfId="0" applyNumberFormat="1" applyFill="1"/>
    <xf numFmtId="4" fontId="0" fillId="23" borderId="0" xfId="0" applyNumberFormat="1" applyFill="1"/>
    <xf numFmtId="14" fontId="0" fillId="23" borderId="0" xfId="0" applyNumberFormat="1" applyFill="1"/>
    <xf numFmtId="6" fontId="0" fillId="0" borderId="0" xfId="0" applyNumberFormat="1"/>
    <xf numFmtId="3" fontId="0" fillId="24" borderId="0" xfId="0" applyNumberFormat="1" applyFill="1"/>
    <xf numFmtId="4" fontId="0" fillId="25" borderId="0" xfId="0" applyNumberFormat="1" applyFill="1"/>
    <xf numFmtId="166" fontId="0" fillId="26" borderId="0" xfId="0" applyNumberFormat="1" applyFill="1"/>
    <xf numFmtId="166" fontId="0" fillId="3" borderId="0" xfId="0" applyNumberFormat="1" applyFill="1"/>
    <xf numFmtId="4" fontId="0" fillId="27" borderId="0" xfId="0" applyNumberFormat="1" applyFill="1"/>
    <xf numFmtId="166" fontId="0" fillId="24" borderId="0" xfId="0" applyNumberFormat="1" applyFill="1"/>
    <xf numFmtId="3" fontId="0" fillId="28" borderId="0" xfId="0" applyNumberFormat="1" applyFill="1"/>
    <xf numFmtId="3" fontId="0" fillId="16" borderId="0" xfId="0" applyNumberFormat="1" applyFill="1"/>
    <xf numFmtId="14" fontId="0" fillId="0" borderId="0" xfId="0" applyNumberFormat="1"/>
    <xf numFmtId="0" fontId="0" fillId="23" borderId="0" xfId="0" applyFill="1"/>
    <xf numFmtId="166" fontId="0" fillId="0" borderId="0" xfId="0" applyNumberFormat="1"/>
    <xf numFmtId="0" fontId="1" fillId="3" borderId="28" xfId="0" applyFont="1" applyFill="1" applyBorder="1"/>
    <xf numFmtId="4" fontId="1" fillId="3" borderId="28" xfId="0" applyNumberFormat="1" applyFont="1" applyFill="1" applyBorder="1"/>
    <xf numFmtId="164" fontId="1" fillId="3" borderId="28" xfId="0" applyNumberFormat="1" applyFont="1" applyFill="1" applyBorder="1"/>
    <xf numFmtId="0" fontId="1" fillId="9" borderId="1" xfId="0" applyFont="1" applyFill="1" applyBorder="1"/>
    <xf numFmtId="0" fontId="1" fillId="9" borderId="2" xfId="0" applyFont="1" applyFill="1" applyBorder="1"/>
    <xf numFmtId="3" fontId="1" fillId="9" borderId="2" xfId="0" applyNumberFormat="1" applyFont="1" applyFill="1" applyBorder="1"/>
    <xf numFmtId="0" fontId="1" fillId="9" borderId="7" xfId="0" applyFont="1" applyFill="1" applyBorder="1"/>
    <xf numFmtId="0" fontId="3" fillId="4" borderId="27" xfId="0" applyFont="1" applyFill="1" applyBorder="1"/>
    <xf numFmtId="0" fontId="4" fillId="4" borderId="17" xfId="0" applyFont="1" applyFill="1" applyBorder="1"/>
    <xf numFmtId="14" fontId="1" fillId="9" borderId="18" xfId="0" applyNumberFormat="1" applyFont="1" applyFill="1" applyBorder="1"/>
    <xf numFmtId="0" fontId="1" fillId="9" borderId="28" xfId="0" applyFont="1" applyFill="1" applyBorder="1"/>
    <xf numFmtId="0" fontId="1" fillId="9" borderId="3" xfId="0" applyFont="1" applyFill="1" applyBorder="1"/>
    <xf numFmtId="0" fontId="1" fillId="9" borderId="8" xfId="0" applyFont="1" applyFill="1" applyBorder="1"/>
    <xf numFmtId="0" fontId="2" fillId="5" borderId="1" xfId="0" applyFont="1" applyFill="1" applyBorder="1"/>
    <xf numFmtId="3" fontId="0" fillId="0" borderId="0" xfId="0" applyNumberFormat="1" applyFill="1"/>
    <xf numFmtId="166" fontId="0" fillId="0" borderId="0" xfId="0" applyNumberFormat="1" applyFill="1"/>
    <xf numFmtId="0" fontId="0" fillId="0" borderId="0" xfId="0" applyFill="1"/>
    <xf numFmtId="167" fontId="0" fillId="26" borderId="0" xfId="0" applyNumberFormat="1" applyFill="1"/>
    <xf numFmtId="0" fontId="1" fillId="9" borderId="17" xfId="0" applyNumberFormat="1" applyFont="1" applyFill="1" applyBorder="1"/>
    <xf numFmtId="0" fontId="12" fillId="17" borderId="1" xfId="0" applyFont="1" applyFill="1" applyBorder="1" applyAlignment="1">
      <alignment wrapText="1"/>
    </xf>
    <xf numFmtId="43" fontId="12" fillId="17" borderId="2" xfId="0" applyNumberFormat="1" applyFont="1" applyFill="1" applyBorder="1" applyAlignment="1">
      <alignment wrapText="1"/>
    </xf>
    <xf numFmtId="43" fontId="0" fillId="0" borderId="0" xfId="0" applyNumberFormat="1"/>
    <xf numFmtId="43" fontId="13" fillId="17" borderId="2" xfId="0" applyNumberFormat="1" applyFont="1" applyFill="1" applyBorder="1" applyAlignment="1">
      <alignment wrapText="1"/>
    </xf>
    <xf numFmtId="14" fontId="12" fillId="17" borderId="2" xfId="0" applyNumberFormat="1" applyFont="1" applyFill="1" applyBorder="1" applyAlignment="1">
      <alignment wrapText="1"/>
    </xf>
    <xf numFmtId="0" fontId="0" fillId="16" borderId="19" xfId="0" applyFill="1" applyBorder="1"/>
    <xf numFmtId="43" fontId="0" fillId="16" borderId="19" xfId="0" applyNumberFormat="1" applyFill="1" applyBorder="1"/>
    <xf numFmtId="14" fontId="0" fillId="16" borderId="19" xfId="0" applyNumberFormat="1" applyFill="1" applyBorder="1"/>
    <xf numFmtId="0" fontId="1" fillId="16" borderId="19" xfId="0" applyFont="1" applyFill="1" applyBorder="1"/>
    <xf numFmtId="4" fontId="1" fillId="16" borderId="19" xfId="0" applyNumberFormat="1" applyFont="1" applyFill="1" applyBorder="1"/>
    <xf numFmtId="14" fontId="1" fillId="16" borderId="19" xfId="0" applyNumberFormat="1" applyFont="1" applyFill="1" applyBorder="1"/>
    <xf numFmtId="0" fontId="11" fillId="16" borderId="19" xfId="0" applyFont="1" applyFill="1" applyBorder="1" applyAlignment="1">
      <alignment wrapText="1"/>
    </xf>
    <xf numFmtId="4" fontId="11" fillId="16" borderId="19" xfId="0" applyNumberFormat="1" applyFont="1" applyFill="1" applyBorder="1" applyAlignment="1">
      <alignment wrapText="1"/>
    </xf>
    <xf numFmtId="14" fontId="11" fillId="16" borderId="19" xfId="0" applyNumberFormat="1" applyFont="1" applyFill="1" applyBorder="1" applyAlignment="1">
      <alignment wrapText="1"/>
    </xf>
    <xf numFmtId="0" fontId="10" fillId="18" borderId="28" xfId="0" applyFont="1" applyFill="1" applyBorder="1" applyAlignment="1">
      <alignment wrapText="1"/>
    </xf>
    <xf numFmtId="43" fontId="10" fillId="18" borderId="28" xfId="0" applyNumberFormat="1" applyFont="1" applyFill="1" applyBorder="1" applyAlignment="1">
      <alignment wrapText="1"/>
    </xf>
    <xf numFmtId="14" fontId="9" fillId="18" borderId="28" xfId="0" applyNumberFormat="1" applyFont="1" applyFill="1" applyBorder="1" applyAlignment="1">
      <alignment wrapText="1"/>
    </xf>
    <xf numFmtId="0" fontId="0" fillId="29" borderId="19" xfId="0" applyFill="1" applyBorder="1"/>
    <xf numFmtId="43" fontId="0" fillId="29" borderId="19" xfId="0" applyNumberFormat="1" applyFill="1" applyBorder="1"/>
    <xf numFmtId="14" fontId="0" fillId="29" borderId="19" xfId="0" applyNumberFormat="1" applyFill="1" applyBorder="1"/>
    <xf numFmtId="0" fontId="0" fillId="16" borderId="21" xfId="0" applyFill="1" applyBorder="1"/>
    <xf numFmtId="43" fontId="0" fillId="16" borderId="21" xfId="0" applyNumberFormat="1" applyFill="1" applyBorder="1"/>
    <xf numFmtId="14" fontId="0" fillId="16" borderId="21" xfId="0" applyNumberFormat="1" applyFill="1" applyBorder="1"/>
    <xf numFmtId="0" fontId="0" fillId="22" borderId="19" xfId="0" applyFill="1" applyBorder="1"/>
    <xf numFmtId="43" fontId="0" fillId="22" borderId="19" xfId="0" applyNumberFormat="1" applyFill="1" applyBorder="1"/>
    <xf numFmtId="14" fontId="0" fillId="22" borderId="19" xfId="0" applyNumberFormat="1" applyFill="1" applyBorder="1"/>
    <xf numFmtId="0" fontId="0" fillId="29" borderId="21" xfId="0" applyFill="1" applyBorder="1"/>
    <xf numFmtId="43" fontId="0" fillId="29" borderId="21" xfId="0" applyNumberFormat="1" applyFill="1" applyBorder="1"/>
    <xf numFmtId="14" fontId="0" fillId="29" borderId="21" xfId="0" applyNumberFormat="1" applyFill="1" applyBorder="1"/>
    <xf numFmtId="0" fontId="12" fillId="17" borderId="2" xfId="0" applyFont="1" applyFill="1" applyBorder="1" applyAlignment="1"/>
    <xf numFmtId="0" fontId="12" fillId="17" borderId="2" xfId="0" applyFont="1" applyFill="1" applyBorder="1" applyAlignment="1">
      <alignment horizontal="left" vertical="center"/>
    </xf>
    <xf numFmtId="0" fontId="1" fillId="0" borderId="0" xfId="0" applyFont="1" applyFill="1" applyBorder="1"/>
    <xf numFmtId="0" fontId="0" fillId="0" borderId="19" xfId="0" applyBorder="1"/>
    <xf numFmtId="0" fontId="0" fillId="16" borderId="19" xfId="0" applyFill="1" applyBorder="1" applyAlignment="1"/>
    <xf numFmtId="0" fontId="1" fillId="16" borderId="19" xfId="0" applyFont="1" applyFill="1" applyBorder="1" applyAlignment="1"/>
    <xf numFmtId="0" fontId="1" fillId="3" borderId="20" xfId="0" applyFont="1" applyFill="1" applyBorder="1"/>
    <xf numFmtId="4" fontId="1" fillId="3" borderId="20" xfId="0" applyNumberFormat="1" applyFont="1" applyFill="1" applyBorder="1"/>
    <xf numFmtId="164" fontId="1" fillId="3" borderId="20" xfId="0" applyNumberFormat="1" applyFont="1" applyFill="1" applyBorder="1"/>
    <xf numFmtId="4" fontId="0" fillId="4" borderId="19" xfId="0" applyNumberFormat="1" applyFill="1" applyBorder="1"/>
    <xf numFmtId="166" fontId="0" fillId="26" borderId="19" xfId="0" applyNumberFormat="1" applyFill="1" applyBorder="1"/>
    <xf numFmtId="4" fontId="0" fillId="0" borderId="19" xfId="0" applyNumberFormat="1" applyFill="1" applyBorder="1"/>
    <xf numFmtId="166" fontId="0" fillId="0" borderId="19" xfId="0" applyNumberFormat="1" applyFill="1" applyBorder="1"/>
    <xf numFmtId="4" fontId="0" fillId="2" borderId="19" xfId="0" applyNumberFormat="1" applyFill="1" applyBorder="1"/>
    <xf numFmtId="4" fontId="0" fillId="25" borderId="19" xfId="0" applyNumberFormat="1" applyFill="1" applyBorder="1"/>
    <xf numFmtId="166" fontId="0" fillId="3" borderId="19" xfId="0" applyNumberFormat="1" applyFill="1" applyBorder="1"/>
    <xf numFmtId="4" fontId="0" fillId="0" borderId="19" xfId="0" applyNumberFormat="1" applyBorder="1"/>
    <xf numFmtId="0" fontId="0" fillId="0" borderId="0" xfId="0" applyBorder="1"/>
    <xf numFmtId="4" fontId="0" fillId="0" borderId="0" xfId="0" applyNumberFormat="1" applyFill="1" applyBorder="1"/>
    <xf numFmtId="166" fontId="0" fillId="0" borderId="0" xfId="0" applyNumberFormat="1" applyFill="1" applyBorder="1"/>
    <xf numFmtId="0" fontId="0" fillId="0" borderId="29" xfId="0" applyBorder="1"/>
    <xf numFmtId="0" fontId="0" fillId="0" borderId="30" xfId="0" applyBorder="1"/>
    <xf numFmtId="166" fontId="0" fillId="26" borderId="31" xfId="0" applyNumberFormat="1" applyFill="1" applyBorder="1"/>
    <xf numFmtId="0" fontId="0" fillId="0" borderId="19" xfId="0" applyBorder="1" applyAlignment="1"/>
    <xf numFmtId="0" fontId="0" fillId="30" borderId="19" xfId="0" applyFill="1" applyBorder="1"/>
    <xf numFmtId="3" fontId="14" fillId="16" borderId="19" xfId="0" applyNumberFormat="1" applyFont="1" applyFill="1" applyBorder="1"/>
    <xf numFmtId="4" fontId="15" fillId="16" borderId="19" xfId="0" applyNumberFormat="1" applyFont="1" applyFill="1" applyBorder="1"/>
    <xf numFmtId="0" fontId="0" fillId="31" borderId="19" xfId="0" applyFill="1" applyBorder="1"/>
    <xf numFmtId="43" fontId="0" fillId="31" borderId="19" xfId="0" applyNumberFormat="1" applyFill="1" applyBorder="1"/>
    <xf numFmtId="14" fontId="0" fillId="31" borderId="19" xfId="0" applyNumberFormat="1" applyFill="1" applyBorder="1"/>
    <xf numFmtId="0" fontId="0" fillId="31" borderId="21" xfId="0" applyFill="1" applyBorder="1"/>
    <xf numFmtId="43" fontId="0" fillId="31" borderId="21" xfId="0" applyNumberFormat="1" applyFill="1" applyBorder="1"/>
    <xf numFmtId="14" fontId="0" fillId="31" borderId="21" xfId="0" applyNumberFormat="1" applyFill="1" applyBorder="1"/>
    <xf numFmtId="0" fontId="0" fillId="22" borderId="19" xfId="0" applyFill="1" applyBorder="1" applyAlignment="1"/>
    <xf numFmtId="43" fontId="10" fillId="18" borderId="28" xfId="0" applyNumberFormat="1" applyFont="1" applyFill="1" applyBorder="1" applyAlignment="1"/>
    <xf numFmtId="0" fontId="0" fillId="23" borderId="19" xfId="0" applyFill="1" applyBorder="1"/>
    <xf numFmtId="6" fontId="0" fillId="0" borderId="19" xfId="0" applyNumberFormat="1" applyBorder="1"/>
    <xf numFmtId="166" fontId="0" fillId="0" borderId="19" xfId="0" applyNumberFormat="1" applyBorder="1"/>
    <xf numFmtId="0" fontId="10" fillId="18" borderId="28" xfId="0" applyFont="1" applyFill="1" applyBorder="1" applyAlignment="1">
      <alignment horizontal="center" wrapText="1"/>
    </xf>
    <xf numFmtId="14" fontId="9" fillId="18" borderId="28" xfId="0" applyNumberFormat="1" applyFont="1" applyFill="1" applyBorder="1" applyAlignment="1">
      <alignment horizontal="center" vertical="center" wrapText="1"/>
    </xf>
    <xf numFmtId="0" fontId="10" fillId="18" borderId="28" xfId="0" applyFont="1" applyFill="1" applyBorder="1" applyAlignment="1">
      <alignment horizontal="left" wrapText="1"/>
    </xf>
    <xf numFmtId="0" fontId="0" fillId="32" borderId="19" xfId="0" applyFill="1" applyBorder="1"/>
    <xf numFmtId="43" fontId="0" fillId="32" borderId="19" xfId="0" applyNumberFormat="1" applyFill="1" applyBorder="1"/>
    <xf numFmtId="14" fontId="0" fillId="32" borderId="19" xfId="0" applyNumberFormat="1" applyFill="1" applyBorder="1"/>
    <xf numFmtId="0" fontId="0" fillId="25" borderId="19" xfId="0" applyFill="1" applyBorder="1"/>
    <xf numFmtId="43" fontId="0" fillId="25" borderId="19" xfId="0" applyNumberFormat="1" applyFill="1" applyBorder="1"/>
    <xf numFmtId="14" fontId="0" fillId="25" borderId="19" xfId="0" applyNumberFormat="1" applyFill="1" applyBorder="1"/>
    <xf numFmtId="0" fontId="13" fillId="17" borderId="2" xfId="0" applyFont="1" applyFill="1" applyBorder="1" applyAlignment="1">
      <alignment wrapText="1"/>
    </xf>
    <xf numFmtId="0" fontId="12" fillId="17" borderId="2" xfId="0" applyFont="1" applyFill="1" applyBorder="1" applyAlignment="1">
      <alignment wrapText="1"/>
    </xf>
    <xf numFmtId="0" fontId="9" fillId="18" borderId="28" xfId="0" applyFont="1" applyFill="1" applyBorder="1" applyAlignment="1">
      <alignment wrapText="1"/>
    </xf>
    <xf numFmtId="3" fontId="14" fillId="0" borderId="32" xfId="0" applyNumberFormat="1" applyFont="1" applyFill="1" applyBorder="1"/>
    <xf numFmtId="0" fontId="0" fillId="0" borderId="33" xfId="0" applyBorder="1"/>
    <xf numFmtId="0" fontId="0" fillId="0" borderId="31" xfId="0" applyBorder="1"/>
    <xf numFmtId="4" fontId="0" fillId="25" borderId="27" xfId="0" applyNumberFormat="1" applyFill="1" applyBorder="1"/>
    <xf numFmtId="4" fontId="0" fillId="0" borderId="32" xfId="0" applyNumberFormat="1" applyFill="1" applyBorder="1"/>
    <xf numFmtId="0" fontId="0" fillId="0" borderId="32" xfId="0" applyBorder="1"/>
    <xf numFmtId="0" fontId="0" fillId="0" borderId="35" xfId="0" applyBorder="1"/>
    <xf numFmtId="0" fontId="0" fillId="0" borderId="17" xfId="0" applyBorder="1" applyAlignment="1"/>
    <xf numFmtId="4" fontId="0" fillId="25" borderId="17" xfId="0" applyNumberFormat="1" applyFill="1" applyBorder="1"/>
    <xf numFmtId="166" fontId="0" fillId="3" borderId="34" xfId="0" applyNumberFormat="1" applyFill="1" applyBorder="1"/>
    <xf numFmtId="4" fontId="0" fillId="16" borderId="17" xfId="0" applyNumberFormat="1" applyFill="1" applyBorder="1"/>
    <xf numFmtId="0" fontId="1" fillId="16" borderId="36" xfId="0" applyFont="1" applyFill="1" applyBorder="1"/>
    <xf numFmtId="4" fontId="1" fillId="16" borderId="36" xfId="0" applyNumberFormat="1" applyFont="1" applyFill="1" applyBorder="1"/>
    <xf numFmtId="14" fontId="0" fillId="16" borderId="36" xfId="0" applyNumberFormat="1" applyFill="1" applyBorder="1"/>
    <xf numFmtId="0" fontId="0" fillId="33" borderId="17" xfId="0" applyFill="1" applyBorder="1"/>
    <xf numFmtId="14" fontId="0" fillId="33" borderId="17" xfId="0" applyNumberFormat="1" applyFill="1" applyBorder="1"/>
    <xf numFmtId="4" fontId="0" fillId="33" borderId="17" xfId="0" applyNumberFormat="1" applyFill="1" applyBorder="1"/>
    <xf numFmtId="4" fontId="1" fillId="33" borderId="36" xfId="0" applyNumberFormat="1" applyFont="1" applyFill="1" applyBorder="1"/>
    <xf numFmtId="16" fontId="0" fillId="0" borderId="0" xfId="0" applyNumberFormat="1"/>
    <xf numFmtId="0" fontId="0" fillId="0" borderId="0" xfId="0" applyNumberFormat="1"/>
    <xf numFmtId="0" fontId="0" fillId="22" borderId="0" xfId="0" applyNumberFormat="1" applyFill="1"/>
    <xf numFmtId="0" fontId="0" fillId="23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8C5"/>
      <color rgb="FFCC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amara1240@gmail.com" id="{B555F6AF-F7AF-9B42-A3A9-E39E56681886}" userId="75d9263d4bf8f4e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2" dT="2024-05-27T19:27:13.22" personId="{B555F6AF-F7AF-9B42-A3A9-E39E56681886}" id="{0B7E7EE1-5D7B-0443-B78A-9A60CE95DDD5}">
    <text>Iron rods and biding wire total is 91,075 but they deducted 75 to make 91,000</text>
  </threadedComment>
  <threadedComment ref="D93" dT="2024-04-25T02:54:14.20" personId="{B555F6AF-F7AF-9B42-A3A9-E39E56681886}" id="{A6062B27-FD31-0D47-B9E9-E33D25084D7F}">
    <text>The amount is 75 but Bubacarr gave 100 because he can find change for 75.</text>
  </threadedComment>
  <threadedComment ref="B107" dT="2024-05-26T20:16:55.86" personId="{B555F6AF-F7AF-9B42-A3A9-E39E56681886}" id="{1E17852B-D4DA-6F44-97C8-4989346ED742}">
    <text xml:space="preserve">146 bags of cement </text>
  </threadedComment>
  <threadedComment ref="D107" dT="2024-05-26T20:15:32.58" personId="{B555F6AF-F7AF-9B42-A3A9-E39E56681886}" id="{D7AF5D36-D9C3-824C-8254-30990DB6C688}">
    <text>The total price is 22,248. But he gave them 22,250 because no change for 2 dalasis</text>
  </threadedComment>
  <threadedComment ref="D120" dT="2024-06-01T03:18:30.87" personId="{B555F6AF-F7AF-9B42-A3A9-E39E56681886}" id="{6046C7E2-1477-4542-BED9-FEC4731B4783}">
    <text>There was a sand blocking the way. So they increased the transport to D30 from D20</text>
  </threadedComment>
  <threadedComment ref="D196" dT="2024-11-25T11:38:28.83" personId="{B555F6AF-F7AF-9B42-A3A9-E39E56681886}" id="{3A274E3B-CF2A-DA40-9682-8BC13F430281}">
    <text>It is 240 but wasn’t able to find change so it becomes 250</text>
  </threadedComment>
  <threadedComment ref="D197" dT="2024-11-25T12:18:23.76" personId="{B555F6AF-F7AF-9B42-A3A9-E39E56681886}" id="{1FDD5676-FFD6-3A4C-980B-EDFFBC5A3911}">
    <text>I should be 6240 but it is 6250</text>
  </threadedComment>
  <threadedComment ref="D239" dT="2025-03-23T03:29:52.09" personId="{B555F6AF-F7AF-9B42-A3A9-E39E56681886}" id="{1936A213-DD95-A546-9B72-DAAB3EBF1152}">
    <text>They requested to give D75 to add to the pipes transportation.</text>
  </threadedComment>
  <threadedComment ref="D312" dT="2025-05-13T04:42:55.46" personId="{B555F6AF-F7AF-9B42-A3A9-E39E56681886}" id="{94D8BC24-9167-B248-B64C-3ABC3FAC550B}">
    <text>No change for D25. Total now with the transport is now D1850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431D-3CA2-AE4E-9350-C0290C3F4153}">
  <dimension ref="A1:N131"/>
  <sheetViews>
    <sheetView tabSelected="1" zoomScaleNormal="100" zoomScaleSheetLayoutView="100" workbookViewId="0">
      <selection activeCell="A33" sqref="A33"/>
    </sheetView>
  </sheetViews>
  <sheetFormatPr defaultColWidth="8.875" defaultRowHeight="15" x14ac:dyDescent="0.2"/>
  <cols>
    <col min="1" max="1" width="30.8046875" customWidth="1"/>
    <col min="2" max="2" width="15.46875" customWidth="1"/>
    <col min="3" max="3" width="11.8359375" customWidth="1"/>
    <col min="4" max="4" width="9.28125" customWidth="1"/>
    <col min="5" max="5" width="13.98828125" customWidth="1"/>
    <col min="6" max="6" width="16.54296875" customWidth="1"/>
    <col min="7" max="7" width="13.85546875" customWidth="1"/>
    <col min="8" max="8" width="11.703125" customWidth="1"/>
    <col min="10" max="10" width="19.37109375" customWidth="1"/>
    <col min="11" max="11" width="12.10546875" customWidth="1"/>
    <col min="12" max="12" width="10.22265625" customWidth="1"/>
    <col min="14" max="14" width="14.66015625" customWidth="1"/>
    <col min="15" max="15" width="11.02734375" bestFit="1" customWidth="1"/>
  </cols>
  <sheetData>
    <row r="1" spans="1:8" ht="23.25" x14ac:dyDescent="0.3">
      <c r="A1" s="54"/>
      <c r="B1" s="36" t="s">
        <v>0</v>
      </c>
      <c r="C1" s="1"/>
      <c r="D1" s="54"/>
      <c r="E1" s="54"/>
    </row>
    <row r="2" spans="1:8" x14ac:dyDescent="0.2">
      <c r="A2" s="54"/>
      <c r="B2" s="54"/>
      <c r="C2" s="54"/>
      <c r="D2" s="54"/>
      <c r="E2" s="54"/>
    </row>
    <row r="3" spans="1:8" ht="15.75" thickBot="1" x14ac:dyDescent="0.25">
      <c r="A3" s="54"/>
      <c r="B3" s="54"/>
      <c r="C3" s="54"/>
      <c r="D3" s="54"/>
      <c r="E3" s="54"/>
      <c r="F3" s="54"/>
      <c r="G3" s="54"/>
      <c r="H3" s="54"/>
    </row>
    <row r="4" spans="1:8" ht="21" x14ac:dyDescent="0.3">
      <c r="A4" s="3"/>
      <c r="B4" s="4" t="s">
        <v>1</v>
      </c>
      <c r="C4" s="15"/>
      <c r="D4" s="5"/>
      <c r="E4" s="54"/>
      <c r="F4" s="54"/>
      <c r="G4" s="54"/>
      <c r="H4" s="54"/>
    </row>
    <row r="5" spans="1:8" x14ac:dyDescent="0.2">
      <c r="A5" s="55" t="s">
        <v>2</v>
      </c>
      <c r="B5" s="55" t="s">
        <v>3</v>
      </c>
      <c r="C5" s="55" t="s">
        <v>4</v>
      </c>
      <c r="D5" s="55" t="s">
        <v>5</v>
      </c>
      <c r="E5" s="54"/>
      <c r="F5" s="54"/>
      <c r="G5" s="54"/>
      <c r="H5" s="54"/>
    </row>
    <row r="6" spans="1:8" x14ac:dyDescent="0.2">
      <c r="A6" s="56" t="s">
        <v>6</v>
      </c>
      <c r="B6" s="57">
        <v>750000</v>
      </c>
      <c r="C6" s="58">
        <v>15000</v>
      </c>
      <c r="D6" s="59">
        <v>43680</v>
      </c>
      <c r="E6" s="54"/>
      <c r="F6" s="54"/>
      <c r="G6" s="54"/>
      <c r="H6" s="54"/>
    </row>
    <row r="7" spans="1:8" x14ac:dyDescent="0.2">
      <c r="A7" s="60"/>
      <c r="B7" s="60"/>
      <c r="C7" s="60"/>
      <c r="D7" s="60"/>
      <c r="E7" s="54"/>
      <c r="F7" s="54"/>
      <c r="G7" s="54"/>
      <c r="H7" s="54"/>
    </row>
    <row r="8" spans="1:8" ht="20.100000000000001" customHeight="1" x14ac:dyDescent="0.2">
      <c r="A8" s="54"/>
      <c r="B8" s="54"/>
      <c r="C8" s="54"/>
      <c r="D8" s="54"/>
      <c r="E8" s="54"/>
      <c r="F8" s="54"/>
      <c r="G8" s="54"/>
      <c r="H8" s="54"/>
    </row>
    <row r="9" spans="1:8" x14ac:dyDescent="0.2">
      <c r="A9" s="54"/>
      <c r="B9" s="54"/>
      <c r="C9" s="54"/>
      <c r="D9" s="54"/>
      <c r="E9" s="54"/>
      <c r="F9" s="54"/>
      <c r="G9" s="54"/>
      <c r="H9" s="54"/>
    </row>
    <row r="10" spans="1:8" ht="21" x14ac:dyDescent="0.3">
      <c r="A10" s="9"/>
      <c r="B10" s="16" t="s">
        <v>7</v>
      </c>
      <c r="C10" s="10"/>
      <c r="D10" s="11"/>
      <c r="E10" s="54"/>
      <c r="F10" s="54"/>
      <c r="G10" s="54"/>
      <c r="H10" s="54"/>
    </row>
    <row r="11" spans="1:8" ht="18.75" x14ac:dyDescent="0.25">
      <c r="A11" s="2" t="s">
        <v>2</v>
      </c>
      <c r="B11" s="2" t="s">
        <v>8</v>
      </c>
      <c r="C11" s="2" t="s">
        <v>4</v>
      </c>
      <c r="D11" s="2" t="s">
        <v>5</v>
      </c>
      <c r="E11" s="54"/>
      <c r="F11" s="54"/>
      <c r="G11" s="54"/>
      <c r="H11" s="54"/>
    </row>
    <row r="12" spans="1:8" x14ac:dyDescent="0.2">
      <c r="A12" s="61" t="s">
        <v>9</v>
      </c>
      <c r="B12" s="62">
        <v>1500</v>
      </c>
      <c r="C12" s="63">
        <f>B12/49</f>
        <v>30.612244897959183</v>
      </c>
      <c r="D12" s="64">
        <v>43686</v>
      </c>
      <c r="E12" s="54"/>
      <c r="F12" s="54"/>
      <c r="G12" s="54"/>
      <c r="H12" s="54"/>
    </row>
    <row r="13" spans="1:8" x14ac:dyDescent="0.2">
      <c r="A13" s="61" t="s">
        <v>10</v>
      </c>
      <c r="B13" s="62">
        <v>1000</v>
      </c>
      <c r="C13" s="63">
        <f>B13/49</f>
        <v>20.408163265306122</v>
      </c>
      <c r="D13" s="64">
        <v>43816</v>
      </c>
      <c r="E13" s="54"/>
      <c r="F13" s="54"/>
      <c r="G13" s="54"/>
      <c r="H13" s="54"/>
    </row>
    <row r="14" spans="1:8" x14ac:dyDescent="0.2">
      <c r="A14" s="61" t="s">
        <v>11</v>
      </c>
      <c r="B14" s="62">
        <v>490</v>
      </c>
      <c r="C14" s="63">
        <f t="shared" ref="C14:C22" si="0">B14/49</f>
        <v>10</v>
      </c>
      <c r="D14" s="64">
        <v>43867</v>
      </c>
      <c r="E14" s="54"/>
      <c r="F14" s="54"/>
      <c r="G14" s="54"/>
      <c r="H14" s="54"/>
    </row>
    <row r="15" spans="1:8" x14ac:dyDescent="0.2">
      <c r="A15" s="61" t="s">
        <v>10</v>
      </c>
      <c r="B15" s="62">
        <v>2000</v>
      </c>
      <c r="C15" s="63">
        <f t="shared" si="0"/>
        <v>40.816326530612244</v>
      </c>
      <c r="D15" s="64">
        <v>43868</v>
      </c>
      <c r="E15" s="54"/>
      <c r="F15" s="54"/>
      <c r="G15" s="54"/>
      <c r="H15" s="54"/>
    </row>
    <row r="16" spans="1:8" x14ac:dyDescent="0.2">
      <c r="A16" s="61" t="s">
        <v>12</v>
      </c>
      <c r="B16" s="62">
        <v>5000</v>
      </c>
      <c r="C16" s="63">
        <f t="shared" si="0"/>
        <v>102.04081632653062</v>
      </c>
      <c r="D16" s="64">
        <v>43868</v>
      </c>
      <c r="E16" s="54"/>
      <c r="F16" s="54"/>
      <c r="G16" s="54"/>
      <c r="H16" s="54"/>
    </row>
    <row r="17" spans="1:8" x14ac:dyDescent="0.2">
      <c r="A17" s="61" t="s">
        <v>13</v>
      </c>
      <c r="B17" s="62">
        <v>500</v>
      </c>
      <c r="C17" s="63">
        <f t="shared" si="0"/>
        <v>10.204081632653061</v>
      </c>
      <c r="D17" s="64">
        <v>43868</v>
      </c>
      <c r="E17" s="54"/>
      <c r="F17" s="54"/>
      <c r="G17" s="54"/>
      <c r="H17" s="54"/>
    </row>
    <row r="18" spans="1:8" x14ac:dyDescent="0.2">
      <c r="A18" s="61" t="s">
        <v>14</v>
      </c>
      <c r="B18" s="62">
        <v>2000</v>
      </c>
      <c r="C18" s="63">
        <f t="shared" si="0"/>
        <v>40.816326530612244</v>
      </c>
      <c r="D18" s="64">
        <v>43871</v>
      </c>
      <c r="E18" s="54"/>
      <c r="F18" s="54"/>
      <c r="G18" s="54"/>
      <c r="H18" s="54"/>
    </row>
    <row r="19" spans="1:8" x14ac:dyDescent="0.2">
      <c r="A19" s="61" t="s">
        <v>13</v>
      </c>
      <c r="B19" s="62">
        <v>500</v>
      </c>
      <c r="C19" s="63">
        <f t="shared" si="0"/>
        <v>10.204081632653061</v>
      </c>
      <c r="D19" s="64">
        <v>43871</v>
      </c>
      <c r="E19" s="54"/>
      <c r="F19" s="54"/>
      <c r="G19" s="54"/>
      <c r="H19" s="54"/>
    </row>
    <row r="20" spans="1:8" x14ac:dyDescent="0.2">
      <c r="A20" s="61" t="s">
        <v>15</v>
      </c>
      <c r="B20" s="62">
        <v>400</v>
      </c>
      <c r="C20" s="63">
        <f t="shared" si="0"/>
        <v>8.1632653061224492</v>
      </c>
      <c r="D20" s="64">
        <v>43871</v>
      </c>
      <c r="E20" s="54"/>
      <c r="F20" s="54"/>
      <c r="G20" s="54"/>
      <c r="H20" s="54"/>
    </row>
    <row r="21" spans="1:8" x14ac:dyDescent="0.2">
      <c r="A21" s="61" t="s">
        <v>16</v>
      </c>
      <c r="B21" s="62">
        <v>1500</v>
      </c>
      <c r="C21" s="63">
        <f t="shared" si="0"/>
        <v>30.612244897959183</v>
      </c>
      <c r="D21" s="64">
        <v>43872</v>
      </c>
      <c r="E21" s="54"/>
      <c r="F21" s="54"/>
      <c r="G21" s="54"/>
      <c r="H21" s="54"/>
    </row>
    <row r="22" spans="1:8" x14ac:dyDescent="0.2">
      <c r="A22" s="61" t="s">
        <v>17</v>
      </c>
      <c r="B22" s="62">
        <v>100</v>
      </c>
      <c r="C22" s="63">
        <f t="shared" si="0"/>
        <v>2.0408163265306123</v>
      </c>
      <c r="D22" s="64">
        <v>43872</v>
      </c>
      <c r="E22" s="54"/>
      <c r="F22" s="54"/>
      <c r="G22" s="54"/>
      <c r="H22" s="54"/>
    </row>
    <row r="23" spans="1:8" x14ac:dyDescent="0.2">
      <c r="A23" s="65"/>
      <c r="B23" s="66"/>
      <c r="C23" s="66"/>
      <c r="D23" s="67"/>
      <c r="E23" s="54"/>
      <c r="F23" s="54"/>
      <c r="G23" s="54"/>
      <c r="H23" s="54"/>
    </row>
    <row r="24" spans="1:8" x14ac:dyDescent="0.2">
      <c r="A24" s="68" t="s">
        <v>18</v>
      </c>
      <c r="B24" s="69">
        <f>SUM(B12:B22)</f>
        <v>14990</v>
      </c>
      <c r="C24" s="70">
        <f>SUM(C12:C22)</f>
        <v>305.91836734693879</v>
      </c>
      <c r="D24" s="67"/>
      <c r="E24" s="54"/>
      <c r="F24" s="54"/>
      <c r="G24" s="54"/>
      <c r="H24" s="54"/>
    </row>
    <row r="25" spans="1:8" x14ac:dyDescent="0.2">
      <c r="A25" s="65"/>
      <c r="B25" s="66"/>
      <c r="C25" s="66"/>
      <c r="D25" s="67"/>
      <c r="E25" s="54"/>
      <c r="F25" s="54"/>
      <c r="G25" s="54"/>
      <c r="H25" s="54"/>
    </row>
    <row r="26" spans="1:8" x14ac:dyDescent="0.2">
      <c r="A26" s="71" t="s">
        <v>19</v>
      </c>
      <c r="B26" s="72"/>
      <c r="C26" s="72"/>
      <c r="D26" s="73"/>
      <c r="E26" s="54"/>
      <c r="F26" s="54"/>
      <c r="G26" s="54"/>
      <c r="H26" s="54"/>
    </row>
    <row r="27" spans="1:8" x14ac:dyDescent="0.2">
      <c r="A27" s="54"/>
      <c r="B27" s="54"/>
      <c r="C27" s="54"/>
      <c r="D27" s="54"/>
      <c r="E27" s="54"/>
      <c r="F27" s="54"/>
      <c r="G27" s="54"/>
      <c r="H27" s="54"/>
    </row>
    <row r="28" spans="1:8" x14ac:dyDescent="0.2">
      <c r="A28" s="54"/>
      <c r="B28" s="54"/>
      <c r="C28" s="54"/>
      <c r="D28" s="54"/>
      <c r="E28" s="54"/>
      <c r="F28" s="54"/>
      <c r="G28" s="54"/>
      <c r="H28" s="54"/>
    </row>
    <row r="29" spans="1:8" x14ac:dyDescent="0.2">
      <c r="A29" s="54"/>
      <c r="B29" s="54"/>
      <c r="C29" s="54"/>
      <c r="D29" s="74"/>
      <c r="E29" s="75"/>
      <c r="F29" s="54"/>
      <c r="G29" s="54"/>
      <c r="H29" s="54"/>
    </row>
    <row r="30" spans="1:8" x14ac:dyDescent="0.2">
      <c r="A30" s="54"/>
      <c r="B30" s="54"/>
      <c r="C30" s="54"/>
      <c r="D30" s="74"/>
      <c r="E30" s="75"/>
      <c r="F30" s="54"/>
      <c r="G30" s="54"/>
      <c r="H30" s="54"/>
    </row>
    <row r="31" spans="1:8" x14ac:dyDescent="0.2">
      <c r="A31" s="54"/>
      <c r="B31" s="54"/>
      <c r="C31" s="54"/>
      <c r="D31" s="74"/>
      <c r="E31" s="75"/>
      <c r="F31" s="54"/>
      <c r="G31" s="54"/>
      <c r="H31" s="54"/>
    </row>
    <row r="32" spans="1:8" x14ac:dyDescent="0.2">
      <c r="A32" s="54"/>
      <c r="B32" s="54"/>
      <c r="C32" s="54"/>
      <c r="D32" s="74"/>
      <c r="E32" s="75"/>
      <c r="F32" s="54"/>
      <c r="G32" s="54"/>
      <c r="H32" s="54"/>
    </row>
    <row r="33" spans="1:8" x14ac:dyDescent="0.2">
      <c r="A33" s="74"/>
      <c r="B33" s="54"/>
      <c r="C33" s="54"/>
      <c r="F33" s="54"/>
      <c r="G33" s="54"/>
      <c r="H33" s="54"/>
    </row>
    <row r="34" spans="1:8" x14ac:dyDescent="0.2">
      <c r="A34" s="54"/>
      <c r="B34" s="54"/>
      <c r="C34" s="54"/>
      <c r="F34" s="54"/>
      <c r="G34" s="54"/>
      <c r="H34" s="54"/>
    </row>
    <row r="35" spans="1:8" x14ac:dyDescent="0.2">
      <c r="A35" s="54"/>
      <c r="B35" s="54"/>
      <c r="C35" s="54"/>
    </row>
    <row r="36" spans="1:8" x14ac:dyDescent="0.2">
      <c r="A36" s="54"/>
      <c r="B36" s="54"/>
      <c r="C36" s="54"/>
    </row>
    <row r="37" spans="1:8" x14ac:dyDescent="0.2">
      <c r="A37" s="54"/>
      <c r="B37" s="54"/>
      <c r="C37" s="54"/>
    </row>
    <row r="38" spans="1:8" x14ac:dyDescent="0.2">
      <c r="A38" s="54"/>
      <c r="B38" s="54"/>
      <c r="C38" s="54"/>
    </row>
    <row r="39" spans="1:8" x14ac:dyDescent="0.2">
      <c r="A39" s="54"/>
      <c r="B39" s="54"/>
      <c r="C39" s="54"/>
    </row>
    <row r="40" spans="1:8" x14ac:dyDescent="0.2">
      <c r="A40" s="54"/>
      <c r="B40" s="54"/>
      <c r="C40" s="54"/>
      <c r="D40" s="54"/>
      <c r="E40" s="54"/>
    </row>
    <row r="41" spans="1:8" x14ac:dyDescent="0.2">
      <c r="A41" s="54"/>
      <c r="B41" s="54"/>
      <c r="C41" s="54"/>
      <c r="D41" s="54"/>
      <c r="E41" s="54"/>
    </row>
    <row r="42" spans="1:8" x14ac:dyDescent="0.2">
      <c r="A42" s="54"/>
      <c r="B42" s="54"/>
      <c r="C42" s="54"/>
      <c r="D42" s="54"/>
      <c r="E42" s="54"/>
      <c r="F42" s="54"/>
      <c r="G42" s="54"/>
      <c r="H42" s="54"/>
    </row>
    <row r="43" spans="1:8" x14ac:dyDescent="0.2">
      <c r="A43" s="54"/>
      <c r="B43" s="54"/>
      <c r="C43" s="54"/>
      <c r="D43" s="54"/>
      <c r="E43" s="54"/>
      <c r="F43" s="54"/>
      <c r="G43" s="54"/>
      <c r="H43" s="54"/>
    </row>
    <row r="44" spans="1:8" x14ac:dyDescent="0.2">
      <c r="A44" s="54"/>
      <c r="B44" s="54"/>
      <c r="C44" s="54"/>
      <c r="D44" s="54"/>
      <c r="E44" s="54"/>
      <c r="F44" s="54"/>
      <c r="G44" s="54"/>
      <c r="H44" s="54"/>
    </row>
    <row r="45" spans="1:8" x14ac:dyDescent="0.2">
      <c r="A45" s="54"/>
      <c r="B45" s="54"/>
      <c r="C45" s="54"/>
      <c r="D45" s="54"/>
      <c r="E45" s="54"/>
      <c r="F45" s="54"/>
      <c r="G45" s="54"/>
      <c r="H45" s="54"/>
    </row>
    <row r="46" spans="1:8" x14ac:dyDescent="0.2">
      <c r="A46" s="54"/>
      <c r="B46" s="54"/>
      <c r="C46" s="54"/>
      <c r="D46" s="54"/>
      <c r="E46" s="54"/>
      <c r="F46" s="54"/>
      <c r="G46" s="54"/>
      <c r="H46" s="54"/>
    </row>
    <row r="47" spans="1:8" x14ac:dyDescent="0.2">
      <c r="A47" s="54"/>
      <c r="B47" s="54"/>
      <c r="C47" s="54"/>
      <c r="D47" s="54"/>
      <c r="E47" s="54"/>
      <c r="F47" s="54"/>
      <c r="G47" s="54"/>
      <c r="H47" s="54"/>
    </row>
    <row r="48" spans="1:8" x14ac:dyDescent="0.2">
      <c r="A48" s="54"/>
      <c r="B48" s="54"/>
      <c r="C48" s="54"/>
      <c r="D48" s="54"/>
      <c r="E48" s="54"/>
      <c r="F48" s="54"/>
      <c r="G48" s="54"/>
      <c r="H48" s="54"/>
    </row>
    <row r="49" spans="1:8" x14ac:dyDescent="0.2">
      <c r="A49" s="54"/>
      <c r="B49" s="54"/>
      <c r="C49" s="54"/>
      <c r="D49" s="54"/>
      <c r="E49" s="54"/>
      <c r="F49" s="54"/>
      <c r="G49" s="54"/>
      <c r="H49" s="54"/>
    </row>
    <row r="50" spans="1:8" x14ac:dyDescent="0.2">
      <c r="A50" s="54"/>
      <c r="B50" s="54"/>
      <c r="C50" s="54"/>
      <c r="D50" s="54"/>
      <c r="E50" s="54"/>
      <c r="F50" s="54"/>
      <c r="G50" s="54"/>
      <c r="H50" s="54"/>
    </row>
    <row r="51" spans="1:8" x14ac:dyDescent="0.2">
      <c r="A51" s="54"/>
      <c r="B51" s="54"/>
      <c r="C51" s="54"/>
      <c r="D51" s="54"/>
      <c r="E51" s="54"/>
      <c r="F51" s="54"/>
      <c r="G51" s="54"/>
      <c r="H51" s="54"/>
    </row>
    <row r="52" spans="1:8" x14ac:dyDescent="0.2">
      <c r="A52" s="54"/>
      <c r="B52" s="54"/>
      <c r="C52" s="54"/>
      <c r="D52" s="54"/>
      <c r="E52" s="54"/>
      <c r="F52" s="54"/>
      <c r="G52" s="54"/>
      <c r="H52" s="54"/>
    </row>
    <row r="53" spans="1:8" x14ac:dyDescent="0.2">
      <c r="A53" s="54"/>
      <c r="B53" s="54"/>
      <c r="C53" s="54"/>
      <c r="D53" s="54"/>
      <c r="E53" s="54"/>
      <c r="F53" s="54"/>
      <c r="G53" s="54"/>
      <c r="H53" s="54"/>
    </row>
    <row r="54" spans="1:8" x14ac:dyDescent="0.2">
      <c r="A54" s="54"/>
      <c r="B54" s="54"/>
      <c r="C54" s="54"/>
      <c r="D54" s="54"/>
      <c r="E54" s="54"/>
      <c r="F54" s="54"/>
      <c r="G54" s="54"/>
      <c r="H54" s="54"/>
    </row>
    <row r="55" spans="1:8" x14ac:dyDescent="0.2">
      <c r="A55" s="54"/>
      <c r="B55" s="54"/>
      <c r="C55" s="54"/>
      <c r="D55" s="54"/>
      <c r="E55" s="54"/>
      <c r="F55" s="54"/>
      <c r="G55" s="54"/>
      <c r="H55" s="54"/>
    </row>
    <row r="56" spans="1:8" x14ac:dyDescent="0.2">
      <c r="A56" s="54"/>
      <c r="B56" s="54"/>
      <c r="C56" s="54"/>
      <c r="D56" s="54"/>
      <c r="E56" s="54"/>
      <c r="F56" s="54"/>
      <c r="G56" s="54"/>
      <c r="H56" s="54"/>
    </row>
    <row r="57" spans="1:8" x14ac:dyDescent="0.2">
      <c r="A57" s="54"/>
      <c r="B57" s="54"/>
      <c r="C57" s="54"/>
      <c r="D57" s="54"/>
      <c r="E57" s="54"/>
      <c r="F57" s="54"/>
      <c r="G57" s="54"/>
      <c r="H57" s="54"/>
    </row>
    <row r="58" spans="1:8" x14ac:dyDescent="0.2">
      <c r="A58" s="54"/>
      <c r="B58" s="54"/>
      <c r="C58" s="54"/>
      <c r="D58" s="54"/>
      <c r="E58" s="54"/>
      <c r="F58" s="54"/>
      <c r="G58" s="54"/>
      <c r="H58" s="54"/>
    </row>
    <row r="59" spans="1:8" x14ac:dyDescent="0.2">
      <c r="A59" s="54"/>
      <c r="B59" s="54"/>
      <c r="C59" s="54"/>
      <c r="D59" s="54"/>
      <c r="E59" s="54"/>
      <c r="F59" s="54"/>
      <c r="G59" s="54"/>
      <c r="H59" s="54"/>
    </row>
    <row r="60" spans="1:8" x14ac:dyDescent="0.2">
      <c r="A60" s="54"/>
      <c r="B60" s="54"/>
      <c r="C60" s="54"/>
      <c r="D60" s="54"/>
      <c r="E60" s="54"/>
      <c r="F60" s="54"/>
      <c r="G60" s="54"/>
      <c r="H60" s="54"/>
    </row>
    <row r="61" spans="1:8" x14ac:dyDescent="0.2">
      <c r="A61" s="54"/>
      <c r="B61" s="54"/>
      <c r="C61" s="54"/>
      <c r="D61" s="54"/>
      <c r="E61" s="54"/>
      <c r="F61" s="54"/>
      <c r="G61" s="54"/>
      <c r="H61" s="54"/>
    </row>
    <row r="62" spans="1:8" x14ac:dyDescent="0.2">
      <c r="A62" s="54"/>
      <c r="B62" s="54"/>
      <c r="C62" s="54"/>
      <c r="D62" s="54"/>
      <c r="E62" s="54"/>
      <c r="F62" s="54"/>
      <c r="G62" s="54"/>
      <c r="H62" s="54"/>
    </row>
    <row r="63" spans="1:8" x14ac:dyDescent="0.2">
      <c r="A63" s="54"/>
      <c r="B63" s="54"/>
      <c r="C63" s="54"/>
      <c r="D63" s="54"/>
      <c r="E63" s="54"/>
      <c r="F63" s="54"/>
      <c r="G63" s="54"/>
      <c r="H63" s="54"/>
    </row>
    <row r="64" spans="1:8" x14ac:dyDescent="0.2">
      <c r="A64" s="54"/>
      <c r="B64" s="54"/>
      <c r="C64" s="54"/>
      <c r="D64" s="54"/>
      <c r="E64" s="54"/>
      <c r="F64" s="54"/>
      <c r="G64" s="54"/>
      <c r="H64" s="54"/>
    </row>
    <row r="65" spans="1:8" x14ac:dyDescent="0.2">
      <c r="A65" s="54"/>
      <c r="B65" s="54"/>
      <c r="C65" s="54"/>
      <c r="D65" s="54"/>
      <c r="E65" s="54"/>
      <c r="F65" s="54"/>
      <c r="G65" s="54"/>
      <c r="H65" s="54"/>
    </row>
    <row r="66" spans="1:8" x14ac:dyDescent="0.2">
      <c r="A66" s="54"/>
      <c r="B66" s="54"/>
      <c r="C66" s="54"/>
      <c r="D66" s="54"/>
      <c r="E66" s="54"/>
      <c r="F66" s="54"/>
      <c r="G66" s="54"/>
      <c r="H66" s="54"/>
    </row>
    <row r="67" spans="1:8" x14ac:dyDescent="0.2">
      <c r="A67" s="54"/>
      <c r="B67" s="54"/>
      <c r="C67" s="54"/>
      <c r="D67" s="54"/>
      <c r="E67" s="54"/>
      <c r="F67" s="54"/>
      <c r="G67" s="54"/>
      <c r="H67" s="54"/>
    </row>
    <row r="68" spans="1:8" x14ac:dyDescent="0.2">
      <c r="A68" s="54"/>
      <c r="B68" s="54"/>
      <c r="C68" s="54"/>
      <c r="D68" s="54"/>
      <c r="E68" s="54"/>
      <c r="F68" s="54"/>
      <c r="G68" s="54"/>
      <c r="H68" s="54"/>
    </row>
    <row r="69" spans="1:8" x14ac:dyDescent="0.2">
      <c r="A69" s="54"/>
      <c r="B69" s="54"/>
      <c r="C69" s="54"/>
      <c r="D69" s="54"/>
      <c r="E69" s="54"/>
      <c r="F69" s="54"/>
      <c r="G69" s="54"/>
      <c r="H69" s="54"/>
    </row>
    <row r="70" spans="1:8" x14ac:dyDescent="0.2">
      <c r="A70" s="54"/>
      <c r="B70" s="54"/>
      <c r="C70" s="54"/>
      <c r="D70" s="54"/>
      <c r="E70" s="54"/>
      <c r="F70" s="54"/>
      <c r="G70" s="54"/>
      <c r="H70" s="54"/>
    </row>
    <row r="71" spans="1:8" x14ac:dyDescent="0.2">
      <c r="A71" s="54"/>
      <c r="B71" s="54"/>
      <c r="C71" s="54"/>
      <c r="D71" s="54"/>
      <c r="E71" s="54"/>
      <c r="F71" s="54"/>
      <c r="G71" s="54"/>
      <c r="H71" s="54"/>
    </row>
    <row r="72" spans="1:8" x14ac:dyDescent="0.2">
      <c r="A72" s="54"/>
      <c r="B72" s="54"/>
      <c r="C72" s="54"/>
      <c r="D72" s="54"/>
      <c r="E72" s="54"/>
      <c r="F72" s="54"/>
      <c r="G72" s="54"/>
      <c r="H72" s="54"/>
    </row>
    <row r="73" spans="1:8" x14ac:dyDescent="0.2">
      <c r="A73" s="54"/>
      <c r="B73" s="54"/>
      <c r="C73" s="54"/>
      <c r="D73" s="54"/>
      <c r="E73" s="54"/>
      <c r="F73" s="54"/>
      <c r="G73" s="54"/>
      <c r="H73" s="54"/>
    </row>
    <row r="74" spans="1:8" x14ac:dyDescent="0.2">
      <c r="A74" s="54"/>
      <c r="B74" s="54"/>
      <c r="C74" s="54"/>
      <c r="D74" s="54"/>
      <c r="E74" s="54"/>
      <c r="F74" s="54"/>
      <c r="G74" s="54"/>
      <c r="H74" s="54"/>
    </row>
    <row r="75" spans="1:8" x14ac:dyDescent="0.2">
      <c r="A75" s="54"/>
      <c r="B75" s="54"/>
      <c r="C75" s="54"/>
      <c r="D75" s="54"/>
      <c r="E75" s="54"/>
      <c r="F75" s="54"/>
      <c r="G75" s="54"/>
      <c r="H75" s="54"/>
    </row>
    <row r="76" spans="1:8" x14ac:dyDescent="0.2">
      <c r="A76" s="54"/>
      <c r="B76" s="54"/>
      <c r="C76" s="54"/>
      <c r="D76" s="54"/>
      <c r="E76" s="54"/>
      <c r="F76" s="54"/>
      <c r="G76" s="54"/>
      <c r="H76" s="54"/>
    </row>
    <row r="77" spans="1:8" x14ac:dyDescent="0.2">
      <c r="A77" s="54"/>
      <c r="B77" s="54"/>
      <c r="C77" s="54"/>
      <c r="D77" s="54"/>
      <c r="E77" s="54"/>
      <c r="F77" s="54"/>
      <c r="G77" s="54"/>
      <c r="H77" s="54"/>
    </row>
    <row r="78" spans="1:8" x14ac:dyDescent="0.2">
      <c r="A78" s="54"/>
      <c r="B78" s="54"/>
      <c r="C78" s="54"/>
      <c r="D78" s="54"/>
      <c r="E78" s="54"/>
      <c r="F78" s="54"/>
      <c r="G78" s="54"/>
      <c r="H78" s="54"/>
    </row>
    <row r="79" spans="1:8" x14ac:dyDescent="0.2">
      <c r="A79" s="54"/>
      <c r="B79" s="54"/>
      <c r="C79" s="54"/>
      <c r="D79" s="54"/>
      <c r="E79" s="54"/>
      <c r="F79" s="54"/>
      <c r="G79" s="54"/>
      <c r="H79" s="54"/>
    </row>
    <row r="80" spans="1:8" x14ac:dyDescent="0.2">
      <c r="F80" s="54"/>
      <c r="G80" s="54"/>
      <c r="H80" s="54"/>
    </row>
    <row r="81" spans="6:8" x14ac:dyDescent="0.2">
      <c r="F81" s="54"/>
      <c r="G81" s="54"/>
      <c r="H81" s="54"/>
    </row>
    <row r="82" spans="6:8" x14ac:dyDescent="0.2">
      <c r="H82" s="54"/>
    </row>
    <row r="83" spans="6:8" x14ac:dyDescent="0.2">
      <c r="H83" s="54"/>
    </row>
    <row r="121" spans="14:14" x14ac:dyDescent="0.2">
      <c r="N121" s="18"/>
    </row>
    <row r="126" spans="14:14" x14ac:dyDescent="0.2">
      <c r="N126" s="21"/>
    </row>
    <row r="131" spans="14:14" x14ac:dyDescent="0.2">
      <c r="N13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9DAF-49FC-574C-B523-15960AF0C723}">
  <dimension ref="A2:I66"/>
  <sheetViews>
    <sheetView topLeftCell="A41" workbookViewId="0">
      <selection activeCell="A3" sqref="A3"/>
    </sheetView>
  </sheetViews>
  <sheetFormatPr defaultColWidth="10.76171875" defaultRowHeight="15" x14ac:dyDescent="0.2"/>
  <cols>
    <col min="1" max="1" width="18.83203125" bestFit="1" customWidth="1"/>
    <col min="2" max="2" width="11.02734375" customWidth="1"/>
    <col min="3" max="3" width="14.796875" bestFit="1" customWidth="1"/>
    <col min="4" max="4" width="15.46875" bestFit="1" customWidth="1"/>
    <col min="5" max="5" width="9.81640625" bestFit="1" customWidth="1"/>
    <col min="6" max="6" width="7.80078125" bestFit="1" customWidth="1"/>
  </cols>
  <sheetData>
    <row r="2" spans="1:8" ht="23.25" x14ac:dyDescent="0.3">
      <c r="B2" s="32"/>
      <c r="C2" s="1"/>
      <c r="D2" s="54"/>
    </row>
    <row r="3" spans="1:8" ht="22.5" x14ac:dyDescent="0.3">
      <c r="C3" s="32" t="s">
        <v>20</v>
      </c>
    </row>
    <row r="5" spans="1:8" ht="15.75" thickBot="1" x14ac:dyDescent="0.25"/>
    <row r="6" spans="1:8" ht="21" x14ac:dyDescent="0.3">
      <c r="A6" s="6"/>
      <c r="B6" s="15" t="s">
        <v>21</v>
      </c>
      <c r="C6" s="15"/>
      <c r="D6" s="7"/>
      <c r="E6" s="7"/>
      <c r="F6" s="8"/>
      <c r="G6" s="54"/>
      <c r="H6" s="54"/>
    </row>
    <row r="7" spans="1:8" ht="18.75" x14ac:dyDescent="0.25">
      <c r="A7" s="2" t="s">
        <v>2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5</v>
      </c>
      <c r="G7" s="54"/>
      <c r="H7" s="54"/>
    </row>
    <row r="8" spans="1:8" x14ac:dyDescent="0.2">
      <c r="A8" s="76" t="s">
        <v>26</v>
      </c>
      <c r="B8" s="76">
        <v>1</v>
      </c>
      <c r="C8" s="77">
        <v>10000</v>
      </c>
      <c r="D8" s="77">
        <f>C8*B8</f>
        <v>10000</v>
      </c>
      <c r="E8" s="78">
        <f>D8/49</f>
        <v>204.08163265306123</v>
      </c>
      <c r="F8" s="79">
        <v>43951</v>
      </c>
      <c r="G8" s="54"/>
      <c r="H8" s="54"/>
    </row>
    <row r="9" spans="1:8" x14ac:dyDescent="0.2">
      <c r="A9" s="80" t="s">
        <v>27</v>
      </c>
      <c r="B9" s="80">
        <v>1</v>
      </c>
      <c r="C9" s="81">
        <v>7500</v>
      </c>
      <c r="D9" s="81">
        <f>C9*B9</f>
        <v>7500</v>
      </c>
      <c r="E9" s="82">
        <f>D9/49</f>
        <v>153.0612244897959</v>
      </c>
      <c r="F9" s="83">
        <v>43951</v>
      </c>
      <c r="G9" s="54"/>
      <c r="H9" s="54"/>
    </row>
    <row r="10" spans="1:8" x14ac:dyDescent="0.2">
      <c r="A10" s="80" t="s">
        <v>28</v>
      </c>
      <c r="B10" s="80">
        <v>1</v>
      </c>
      <c r="C10" s="81">
        <v>4000</v>
      </c>
      <c r="D10" s="77">
        <f t="shared" ref="D10:D22" si="0">C10*B10</f>
        <v>4000</v>
      </c>
      <c r="E10" s="78">
        <f t="shared" ref="E10:E46" si="1">D10/49</f>
        <v>81.632653061224488</v>
      </c>
      <c r="F10" s="83">
        <v>43951</v>
      </c>
      <c r="G10" s="54"/>
      <c r="H10" s="54"/>
    </row>
    <row r="11" spans="1:8" x14ac:dyDescent="0.2">
      <c r="A11" s="80" t="s">
        <v>29</v>
      </c>
      <c r="B11" s="80">
        <v>40</v>
      </c>
      <c r="C11" s="81">
        <v>285</v>
      </c>
      <c r="D11" s="81">
        <f t="shared" si="0"/>
        <v>11400</v>
      </c>
      <c r="E11" s="82">
        <f t="shared" si="1"/>
        <v>232.65306122448979</v>
      </c>
      <c r="F11" s="83">
        <v>43957</v>
      </c>
      <c r="G11" s="54"/>
      <c r="H11" s="54"/>
    </row>
    <row r="12" spans="1:8" x14ac:dyDescent="0.2">
      <c r="A12" s="80" t="s">
        <v>30</v>
      </c>
      <c r="B12" s="80">
        <v>1</v>
      </c>
      <c r="C12" s="81">
        <v>600</v>
      </c>
      <c r="D12" s="77">
        <f t="shared" si="0"/>
        <v>600</v>
      </c>
      <c r="E12" s="78">
        <f t="shared" si="1"/>
        <v>12.244897959183673</v>
      </c>
      <c r="F12" s="83">
        <v>43957</v>
      </c>
      <c r="G12" s="54"/>
      <c r="H12" s="54"/>
    </row>
    <row r="13" spans="1:8" x14ac:dyDescent="0.2">
      <c r="A13" s="80" t="s">
        <v>31</v>
      </c>
      <c r="B13" s="80">
        <v>1</v>
      </c>
      <c r="C13" s="81">
        <v>200</v>
      </c>
      <c r="D13" s="81">
        <f t="shared" si="0"/>
        <v>200</v>
      </c>
      <c r="E13" s="78">
        <f t="shared" si="1"/>
        <v>4.0816326530612246</v>
      </c>
      <c r="F13" s="83">
        <v>43957</v>
      </c>
      <c r="G13" s="54"/>
      <c r="H13" s="54"/>
    </row>
    <row r="14" spans="1:8" x14ac:dyDescent="0.2">
      <c r="A14" s="80" t="s">
        <v>32</v>
      </c>
      <c r="B14" s="80">
        <v>1370</v>
      </c>
      <c r="C14" s="81">
        <v>5</v>
      </c>
      <c r="D14" s="77">
        <f t="shared" si="0"/>
        <v>6850</v>
      </c>
      <c r="E14" s="82">
        <f t="shared" si="1"/>
        <v>139.79591836734693</v>
      </c>
      <c r="F14" s="83">
        <v>43957</v>
      </c>
      <c r="G14" s="54"/>
      <c r="H14" s="54"/>
    </row>
    <row r="15" spans="1:8" x14ac:dyDescent="0.2">
      <c r="A15" s="80" t="s">
        <v>33</v>
      </c>
      <c r="B15" s="80">
        <v>1</v>
      </c>
      <c r="C15" s="81">
        <v>1000</v>
      </c>
      <c r="D15" s="81">
        <f t="shared" si="0"/>
        <v>1000</v>
      </c>
      <c r="E15" s="78">
        <f t="shared" si="1"/>
        <v>20.408163265306122</v>
      </c>
      <c r="F15" s="83">
        <v>43957</v>
      </c>
      <c r="G15" s="54"/>
      <c r="H15" s="54"/>
    </row>
    <row r="16" spans="1:8" x14ac:dyDescent="0.2">
      <c r="A16" s="80" t="s">
        <v>34</v>
      </c>
      <c r="B16" s="80">
        <v>1</v>
      </c>
      <c r="C16" s="81">
        <v>450</v>
      </c>
      <c r="D16" s="77">
        <f t="shared" si="0"/>
        <v>450</v>
      </c>
      <c r="E16" s="82">
        <f t="shared" si="1"/>
        <v>9.183673469387756</v>
      </c>
      <c r="F16" s="83">
        <v>43957</v>
      </c>
      <c r="G16" s="54"/>
      <c r="H16" s="54"/>
    </row>
    <row r="17" spans="1:8" x14ac:dyDescent="0.2">
      <c r="A17" s="80" t="s">
        <v>35</v>
      </c>
      <c r="B17" s="80">
        <v>1</v>
      </c>
      <c r="C17" s="81">
        <v>200</v>
      </c>
      <c r="D17" s="81">
        <f t="shared" si="0"/>
        <v>200</v>
      </c>
      <c r="E17" s="78">
        <f t="shared" si="1"/>
        <v>4.0816326530612246</v>
      </c>
      <c r="F17" s="83">
        <v>43950</v>
      </c>
      <c r="G17" s="54"/>
      <c r="H17" s="54"/>
    </row>
    <row r="18" spans="1:8" x14ac:dyDescent="0.2">
      <c r="A18" s="80" t="s">
        <v>36</v>
      </c>
      <c r="B18" s="80">
        <v>1</v>
      </c>
      <c r="C18" s="81">
        <v>3500</v>
      </c>
      <c r="D18" s="77">
        <f t="shared" si="0"/>
        <v>3500</v>
      </c>
      <c r="E18" s="78">
        <f t="shared" si="1"/>
        <v>71.428571428571431</v>
      </c>
      <c r="F18" s="83">
        <v>43959</v>
      </c>
      <c r="G18" s="54"/>
      <c r="H18" s="54"/>
    </row>
    <row r="19" spans="1:8" x14ac:dyDescent="0.2">
      <c r="A19" s="80" t="s">
        <v>29</v>
      </c>
      <c r="B19" s="80">
        <v>25</v>
      </c>
      <c r="C19" s="81">
        <v>285</v>
      </c>
      <c r="D19" s="81">
        <f t="shared" si="0"/>
        <v>7125</v>
      </c>
      <c r="E19" s="82">
        <f t="shared" si="1"/>
        <v>145.40816326530611</v>
      </c>
      <c r="F19" s="83">
        <v>43959</v>
      </c>
      <c r="G19" s="54"/>
      <c r="H19" s="54"/>
    </row>
    <row r="20" spans="1:8" x14ac:dyDescent="0.2">
      <c r="A20" s="80" t="s">
        <v>30</v>
      </c>
      <c r="B20" s="80">
        <v>25</v>
      </c>
      <c r="C20" s="81">
        <v>15</v>
      </c>
      <c r="D20" s="77">
        <f t="shared" si="0"/>
        <v>375</v>
      </c>
      <c r="E20" s="78">
        <f t="shared" si="1"/>
        <v>7.6530612244897958</v>
      </c>
      <c r="F20" s="83">
        <v>43959</v>
      </c>
      <c r="G20" s="54"/>
      <c r="H20" s="54"/>
    </row>
    <row r="21" spans="1:8" x14ac:dyDescent="0.2">
      <c r="A21" s="80" t="s">
        <v>37</v>
      </c>
      <c r="B21" s="80">
        <v>1</v>
      </c>
      <c r="C21" s="81">
        <v>600</v>
      </c>
      <c r="D21" s="81">
        <f t="shared" si="0"/>
        <v>600</v>
      </c>
      <c r="E21" s="82">
        <f t="shared" si="1"/>
        <v>12.244897959183673</v>
      </c>
      <c r="F21" s="83">
        <v>43959</v>
      </c>
      <c r="G21" s="54"/>
      <c r="H21" s="54"/>
    </row>
    <row r="22" spans="1:8" x14ac:dyDescent="0.2">
      <c r="A22" s="80" t="s">
        <v>34</v>
      </c>
      <c r="B22" s="80">
        <v>1</v>
      </c>
      <c r="C22" s="81">
        <v>200</v>
      </c>
      <c r="D22" s="77">
        <f t="shared" si="0"/>
        <v>200</v>
      </c>
      <c r="E22" s="78">
        <f t="shared" si="1"/>
        <v>4.0816326530612246</v>
      </c>
      <c r="F22" s="83">
        <v>43959</v>
      </c>
      <c r="G22" s="54"/>
      <c r="H22" s="54"/>
    </row>
    <row r="23" spans="1:8" x14ac:dyDescent="0.2">
      <c r="A23" s="80" t="s">
        <v>38</v>
      </c>
      <c r="B23" s="80" t="s">
        <v>39</v>
      </c>
      <c r="C23" s="81">
        <v>4550</v>
      </c>
      <c r="D23" s="81">
        <v>4550</v>
      </c>
      <c r="E23" s="78">
        <f t="shared" si="1"/>
        <v>92.857142857142861</v>
      </c>
      <c r="F23" s="83">
        <v>43961</v>
      </c>
      <c r="G23" s="54"/>
      <c r="H23" s="54"/>
    </row>
    <row r="24" spans="1:8" x14ac:dyDescent="0.2">
      <c r="A24" s="80" t="s">
        <v>40</v>
      </c>
      <c r="B24" s="80">
        <v>1</v>
      </c>
      <c r="C24" s="81">
        <v>200</v>
      </c>
      <c r="D24" s="81">
        <f>C24*B24</f>
        <v>200</v>
      </c>
      <c r="E24" s="82">
        <f t="shared" si="1"/>
        <v>4.0816326530612246</v>
      </c>
      <c r="F24" s="83">
        <v>43961</v>
      </c>
      <c r="G24" s="54"/>
      <c r="H24" s="54"/>
    </row>
    <row r="25" spans="1:8" x14ac:dyDescent="0.2">
      <c r="A25" s="80" t="s">
        <v>34</v>
      </c>
      <c r="B25" s="80">
        <v>1</v>
      </c>
      <c r="C25" s="81">
        <v>125</v>
      </c>
      <c r="D25" s="81">
        <f>C25*B25</f>
        <v>125</v>
      </c>
      <c r="E25" s="78">
        <f t="shared" si="1"/>
        <v>2.5510204081632653</v>
      </c>
      <c r="F25" s="83">
        <v>43961</v>
      </c>
      <c r="G25" s="54"/>
      <c r="H25" s="54"/>
    </row>
    <row r="26" spans="1:8" x14ac:dyDescent="0.2">
      <c r="A26" s="80" t="s">
        <v>34</v>
      </c>
      <c r="B26" s="80">
        <v>1</v>
      </c>
      <c r="C26" s="81">
        <v>400</v>
      </c>
      <c r="D26" s="81">
        <f t="shared" ref="D26:D32" si="2">C26*B26</f>
        <v>400</v>
      </c>
      <c r="E26" s="82">
        <f t="shared" si="1"/>
        <v>8.1632653061224492</v>
      </c>
      <c r="F26" s="83">
        <v>43967</v>
      </c>
      <c r="G26" s="54"/>
      <c r="H26" s="54"/>
    </row>
    <row r="27" spans="1:8" x14ac:dyDescent="0.2">
      <c r="A27" s="80" t="s">
        <v>41</v>
      </c>
      <c r="B27" s="80">
        <v>4</v>
      </c>
      <c r="C27" s="81">
        <v>35</v>
      </c>
      <c r="D27" s="81">
        <f t="shared" si="2"/>
        <v>140</v>
      </c>
      <c r="E27" s="78">
        <f t="shared" si="1"/>
        <v>2.8571428571428572</v>
      </c>
      <c r="F27" s="83">
        <v>43967</v>
      </c>
      <c r="G27" s="54"/>
      <c r="H27" s="54"/>
    </row>
    <row r="28" spans="1:8" x14ac:dyDescent="0.2">
      <c r="A28" s="80" t="s">
        <v>42</v>
      </c>
      <c r="B28" s="80">
        <v>1</v>
      </c>
      <c r="C28" s="81">
        <v>100</v>
      </c>
      <c r="D28" s="81">
        <f t="shared" si="2"/>
        <v>100</v>
      </c>
      <c r="E28" s="78">
        <f t="shared" si="1"/>
        <v>2.0408163265306123</v>
      </c>
      <c r="F28" s="83">
        <v>43967</v>
      </c>
      <c r="G28" s="54"/>
      <c r="H28" s="54"/>
    </row>
    <row r="29" spans="1:8" x14ac:dyDescent="0.2">
      <c r="A29" s="80" t="s">
        <v>43</v>
      </c>
      <c r="B29" s="80">
        <v>2</v>
      </c>
      <c r="C29" s="81">
        <v>60</v>
      </c>
      <c r="D29" s="81">
        <f t="shared" si="2"/>
        <v>120</v>
      </c>
      <c r="E29" s="82">
        <f t="shared" si="1"/>
        <v>2.4489795918367347</v>
      </c>
      <c r="F29" s="83">
        <v>43967</v>
      </c>
      <c r="G29" s="54"/>
      <c r="H29" s="54"/>
    </row>
    <row r="30" spans="1:8" x14ac:dyDescent="0.2">
      <c r="A30" s="80" t="s">
        <v>44</v>
      </c>
      <c r="B30" s="80">
        <v>1</v>
      </c>
      <c r="C30" s="81">
        <v>250</v>
      </c>
      <c r="D30" s="81">
        <f t="shared" si="2"/>
        <v>250</v>
      </c>
      <c r="E30" s="78">
        <f t="shared" si="1"/>
        <v>5.1020408163265305</v>
      </c>
      <c r="F30" s="83">
        <v>43967</v>
      </c>
      <c r="G30" s="54"/>
      <c r="H30" s="54"/>
    </row>
    <row r="31" spans="1:8" x14ac:dyDescent="0.2">
      <c r="A31" s="80" t="s">
        <v>45</v>
      </c>
      <c r="B31" s="80">
        <v>14</v>
      </c>
      <c r="C31" s="81">
        <v>50</v>
      </c>
      <c r="D31" s="81">
        <f t="shared" si="2"/>
        <v>700</v>
      </c>
      <c r="E31" s="82">
        <f t="shared" si="1"/>
        <v>14.285714285714286</v>
      </c>
      <c r="F31" s="83">
        <v>43967</v>
      </c>
      <c r="G31" s="54"/>
      <c r="H31" s="54"/>
    </row>
    <row r="32" spans="1:8" x14ac:dyDescent="0.2">
      <c r="A32" s="80" t="s">
        <v>46</v>
      </c>
      <c r="B32" s="80">
        <v>4</v>
      </c>
      <c r="C32" s="81">
        <v>600</v>
      </c>
      <c r="D32" s="81">
        <f t="shared" si="2"/>
        <v>2400</v>
      </c>
      <c r="E32" s="78">
        <f t="shared" si="1"/>
        <v>48.979591836734691</v>
      </c>
      <c r="F32" s="83">
        <v>43967</v>
      </c>
      <c r="G32" s="54"/>
      <c r="H32" s="54"/>
    </row>
    <row r="33" spans="1:8" x14ac:dyDescent="0.2">
      <c r="A33" s="80" t="s">
        <v>29</v>
      </c>
      <c r="B33" s="80" t="s">
        <v>39</v>
      </c>
      <c r="C33" s="81">
        <v>285</v>
      </c>
      <c r="D33" s="81">
        <v>1150</v>
      </c>
      <c r="E33" s="78">
        <f t="shared" si="1"/>
        <v>23.469387755102041</v>
      </c>
      <c r="F33" s="83">
        <v>43973</v>
      </c>
      <c r="G33" s="54"/>
      <c r="H33" s="54"/>
    </row>
    <row r="34" spans="1:8" x14ac:dyDescent="0.2">
      <c r="A34" s="80" t="s">
        <v>34</v>
      </c>
      <c r="B34" s="80">
        <v>1</v>
      </c>
      <c r="C34" s="81">
        <v>200</v>
      </c>
      <c r="D34" s="81">
        <f>C34*B34</f>
        <v>200</v>
      </c>
      <c r="E34" s="82">
        <f t="shared" si="1"/>
        <v>4.0816326530612246</v>
      </c>
      <c r="F34" s="83">
        <v>43973</v>
      </c>
      <c r="G34" s="54"/>
      <c r="H34" s="54"/>
    </row>
    <row r="35" spans="1:8" x14ac:dyDescent="0.2">
      <c r="A35" s="80" t="s">
        <v>47</v>
      </c>
      <c r="B35" s="80">
        <v>4</v>
      </c>
      <c r="C35" s="81">
        <v>500</v>
      </c>
      <c r="D35" s="81">
        <f>C35*B35</f>
        <v>2000</v>
      </c>
      <c r="E35" s="78">
        <f t="shared" si="1"/>
        <v>40.816326530612244</v>
      </c>
      <c r="F35" s="83">
        <v>43973</v>
      </c>
      <c r="G35" s="54"/>
      <c r="H35" s="54"/>
    </row>
    <row r="36" spans="1:8" x14ac:dyDescent="0.2">
      <c r="A36" s="80" t="s">
        <v>48</v>
      </c>
      <c r="B36" s="80">
        <v>6</v>
      </c>
      <c r="C36" s="81">
        <v>25</v>
      </c>
      <c r="D36" s="81">
        <f t="shared" ref="D36:D46" si="3">C36*B36</f>
        <v>150</v>
      </c>
      <c r="E36" s="82">
        <f t="shared" si="1"/>
        <v>3.0612244897959182</v>
      </c>
      <c r="F36" s="83">
        <v>43883</v>
      </c>
      <c r="G36" s="54"/>
      <c r="H36" s="54"/>
    </row>
    <row r="37" spans="1:8" x14ac:dyDescent="0.2">
      <c r="A37" s="80" t="s">
        <v>49</v>
      </c>
      <c r="B37" s="80">
        <v>1</v>
      </c>
      <c r="C37" s="81">
        <v>1000</v>
      </c>
      <c r="D37" s="81">
        <f t="shared" si="3"/>
        <v>1000</v>
      </c>
      <c r="E37" s="78">
        <f t="shared" si="1"/>
        <v>20.408163265306122</v>
      </c>
      <c r="F37" s="83">
        <v>43973</v>
      </c>
      <c r="G37" s="54"/>
      <c r="H37" s="54"/>
    </row>
    <row r="38" spans="1:8" x14ac:dyDescent="0.2">
      <c r="A38" s="80" t="s">
        <v>50</v>
      </c>
      <c r="B38" s="80">
        <v>1</v>
      </c>
      <c r="C38" s="81">
        <v>3000</v>
      </c>
      <c r="D38" s="81">
        <f t="shared" si="3"/>
        <v>3000</v>
      </c>
      <c r="E38" s="78">
        <f t="shared" si="1"/>
        <v>61.224489795918366</v>
      </c>
      <c r="F38" s="83">
        <v>43973</v>
      </c>
      <c r="G38" s="54"/>
      <c r="H38" s="54"/>
    </row>
    <row r="39" spans="1:8" x14ac:dyDescent="0.2">
      <c r="A39" s="80" t="s">
        <v>51</v>
      </c>
      <c r="B39" s="80">
        <v>1</v>
      </c>
      <c r="C39" s="81">
        <v>400</v>
      </c>
      <c r="D39" s="81">
        <f t="shared" si="3"/>
        <v>400</v>
      </c>
      <c r="E39" s="82">
        <f t="shared" si="1"/>
        <v>8.1632653061224492</v>
      </c>
      <c r="F39" s="83">
        <v>43973</v>
      </c>
      <c r="G39" s="54"/>
      <c r="H39" s="54"/>
    </row>
    <row r="40" spans="1:8" x14ac:dyDescent="0.2">
      <c r="A40" s="80" t="s">
        <v>52</v>
      </c>
      <c r="B40" s="80">
        <v>1</v>
      </c>
      <c r="C40" s="81">
        <v>250</v>
      </c>
      <c r="D40" s="81">
        <f t="shared" si="3"/>
        <v>250</v>
      </c>
      <c r="E40" s="78">
        <f t="shared" si="1"/>
        <v>5.1020408163265305</v>
      </c>
      <c r="F40" s="83">
        <v>43973</v>
      </c>
      <c r="G40" s="54"/>
      <c r="H40" s="54"/>
    </row>
    <row r="41" spans="1:8" x14ac:dyDescent="0.2">
      <c r="A41" s="80" t="s">
        <v>53</v>
      </c>
      <c r="B41" s="80">
        <v>1</v>
      </c>
      <c r="C41" s="81">
        <v>26000</v>
      </c>
      <c r="D41" s="81">
        <f t="shared" si="3"/>
        <v>26000</v>
      </c>
      <c r="E41" s="82">
        <f t="shared" si="1"/>
        <v>530.61224489795916</v>
      </c>
      <c r="F41" s="83">
        <v>43973</v>
      </c>
      <c r="G41" s="54"/>
      <c r="H41" s="54"/>
    </row>
    <row r="42" spans="1:8" x14ac:dyDescent="0.2">
      <c r="A42" s="80" t="s">
        <v>29</v>
      </c>
      <c r="B42" s="80">
        <v>5</v>
      </c>
      <c r="C42" s="81">
        <v>285</v>
      </c>
      <c r="D42" s="81">
        <f t="shared" si="3"/>
        <v>1425</v>
      </c>
      <c r="E42" s="78">
        <f t="shared" si="1"/>
        <v>29.081632653061224</v>
      </c>
      <c r="F42" s="83">
        <v>43973</v>
      </c>
      <c r="G42" s="54"/>
      <c r="H42" s="54"/>
    </row>
    <row r="43" spans="1:8" x14ac:dyDescent="0.2">
      <c r="A43" s="80" t="s">
        <v>30</v>
      </c>
      <c r="B43" s="80">
        <v>5</v>
      </c>
      <c r="C43" s="81">
        <v>15</v>
      </c>
      <c r="D43" s="81">
        <f t="shared" si="3"/>
        <v>75</v>
      </c>
      <c r="E43" s="78">
        <f t="shared" si="1"/>
        <v>1.5306122448979591</v>
      </c>
      <c r="F43" s="83">
        <v>43973</v>
      </c>
      <c r="G43" s="54"/>
      <c r="H43" s="54"/>
    </row>
    <row r="44" spans="1:8" x14ac:dyDescent="0.2">
      <c r="A44" s="80" t="s">
        <v>54</v>
      </c>
      <c r="B44" s="80">
        <v>1</v>
      </c>
      <c r="C44" s="81">
        <v>12000</v>
      </c>
      <c r="D44" s="81">
        <f t="shared" si="3"/>
        <v>12000</v>
      </c>
      <c r="E44" s="82">
        <f t="shared" si="1"/>
        <v>244.89795918367346</v>
      </c>
      <c r="F44" s="83">
        <v>43975</v>
      </c>
      <c r="G44" s="54"/>
      <c r="H44" s="54"/>
    </row>
    <row r="45" spans="1:8" x14ac:dyDescent="0.2">
      <c r="A45" s="80" t="s">
        <v>55</v>
      </c>
      <c r="B45" s="80">
        <v>1</v>
      </c>
      <c r="C45" s="81">
        <v>1000</v>
      </c>
      <c r="D45" s="81">
        <f t="shared" si="3"/>
        <v>1000</v>
      </c>
      <c r="E45" s="78">
        <f t="shared" si="1"/>
        <v>20.408163265306122</v>
      </c>
      <c r="F45" s="83">
        <v>43975</v>
      </c>
      <c r="G45" s="54"/>
      <c r="H45" s="54"/>
    </row>
    <row r="46" spans="1:8" x14ac:dyDescent="0.2">
      <c r="A46" s="80" t="s">
        <v>56</v>
      </c>
      <c r="B46" s="80">
        <v>1</v>
      </c>
      <c r="C46" s="81">
        <v>1000</v>
      </c>
      <c r="D46" s="81">
        <f t="shared" si="3"/>
        <v>1000</v>
      </c>
      <c r="E46" s="82">
        <f t="shared" si="1"/>
        <v>20.408163265306122</v>
      </c>
      <c r="F46" s="83">
        <v>44005</v>
      </c>
      <c r="G46" s="54"/>
      <c r="H46" s="54"/>
    </row>
    <row r="47" spans="1:8" x14ac:dyDescent="0.2">
      <c r="A47" s="80" t="s">
        <v>57</v>
      </c>
      <c r="B47" s="80"/>
      <c r="C47" s="81"/>
      <c r="D47" s="81"/>
      <c r="E47" s="82"/>
      <c r="F47" s="80"/>
      <c r="G47" s="54"/>
      <c r="H47" s="54"/>
    </row>
    <row r="48" spans="1:8" x14ac:dyDescent="0.2">
      <c r="A48" s="84"/>
      <c r="B48" s="85"/>
      <c r="C48" s="86"/>
      <c r="D48" s="81"/>
      <c r="E48" s="85"/>
      <c r="F48" s="87"/>
      <c r="G48" s="54"/>
      <c r="H48" s="54"/>
    </row>
    <row r="49" spans="1:9" x14ac:dyDescent="0.2">
      <c r="A49" s="88" t="s">
        <v>18</v>
      </c>
      <c r="B49" s="89"/>
      <c r="C49" s="69"/>
      <c r="D49" s="69">
        <f>SUM(D8:D47)</f>
        <v>112635</v>
      </c>
      <c r="E49" s="70">
        <f>SUM(E8:E47)</f>
        <v>2298.6734693877543</v>
      </c>
      <c r="F49" s="90"/>
      <c r="G49" s="54"/>
      <c r="H49" s="54"/>
    </row>
    <row r="50" spans="1:9" x14ac:dyDescent="0.2">
      <c r="A50" s="84"/>
      <c r="B50" s="85"/>
      <c r="C50" s="85"/>
      <c r="D50" s="85"/>
      <c r="E50" s="85"/>
      <c r="F50" s="87"/>
      <c r="G50" s="54"/>
      <c r="H50" s="91">
        <v>225270</v>
      </c>
      <c r="I50" s="20">
        <v>2286.4299999999998</v>
      </c>
    </row>
    <row r="51" spans="1:9" ht="15.75" thickBot="1" x14ac:dyDescent="0.25">
      <c r="A51" s="37" t="s">
        <v>19</v>
      </c>
      <c r="B51" s="92"/>
      <c r="C51" s="92"/>
      <c r="D51" s="92"/>
      <c r="E51" s="92"/>
      <c r="F51" s="93"/>
      <c r="G51" s="54"/>
      <c r="H51" s="54"/>
    </row>
    <row r="52" spans="1:9" x14ac:dyDescent="0.2">
      <c r="A52" s="54"/>
      <c r="B52" s="54"/>
      <c r="C52" s="54"/>
      <c r="D52" s="54"/>
      <c r="E52" s="54"/>
      <c r="F52" s="54"/>
      <c r="G52" s="54"/>
      <c r="H52" s="54"/>
    </row>
    <row r="53" spans="1:9" x14ac:dyDescent="0.2">
      <c r="A53" s="54"/>
      <c r="B53" s="54"/>
      <c r="C53" s="54"/>
      <c r="D53" s="54"/>
      <c r="E53" s="54"/>
      <c r="F53" s="54"/>
      <c r="G53" s="54"/>
      <c r="H53" s="54"/>
    </row>
    <row r="54" spans="1:9" x14ac:dyDescent="0.2">
      <c r="A54" s="54"/>
      <c r="B54" s="54"/>
      <c r="C54" s="54"/>
      <c r="D54" s="54"/>
      <c r="E54" s="54"/>
      <c r="F54" s="54"/>
      <c r="G54" s="54"/>
      <c r="H54" s="54"/>
    </row>
    <row r="55" spans="1:9" ht="21" x14ac:dyDescent="0.3">
      <c r="A55" s="22"/>
      <c r="B55" s="14" t="s">
        <v>58</v>
      </c>
      <c r="C55" s="22"/>
      <c r="D55" s="22"/>
      <c r="E55" s="54"/>
      <c r="F55" s="54"/>
      <c r="G55" s="54"/>
      <c r="H55" s="54"/>
    </row>
    <row r="56" spans="1:9" ht="18.75" x14ac:dyDescent="0.25">
      <c r="A56" s="23" t="s">
        <v>59</v>
      </c>
      <c r="B56" s="23" t="s">
        <v>60</v>
      </c>
      <c r="C56" s="23" t="s">
        <v>61</v>
      </c>
      <c r="D56" s="23" t="s">
        <v>5</v>
      </c>
      <c r="E56" s="54"/>
      <c r="F56" s="54"/>
      <c r="G56" s="54"/>
      <c r="H56" s="54"/>
    </row>
    <row r="57" spans="1:9" x14ac:dyDescent="0.2">
      <c r="A57" s="94" t="s">
        <v>62</v>
      </c>
      <c r="B57" s="95">
        <v>2000</v>
      </c>
      <c r="C57" s="96">
        <f t="shared" ref="C57:C62" si="4">B57/49</f>
        <v>40.816326530612244</v>
      </c>
      <c r="D57" s="97">
        <v>43913</v>
      </c>
      <c r="E57" s="54"/>
      <c r="F57" s="54"/>
      <c r="G57" s="54"/>
      <c r="H57" s="54"/>
    </row>
    <row r="58" spans="1:9" x14ac:dyDescent="0.2">
      <c r="A58" s="94" t="s">
        <v>63</v>
      </c>
      <c r="B58" s="95">
        <v>1500</v>
      </c>
      <c r="C58" s="96">
        <f t="shared" si="4"/>
        <v>30.612244897959183</v>
      </c>
      <c r="D58" s="97">
        <v>43950</v>
      </c>
      <c r="E58" s="54"/>
      <c r="F58" s="54"/>
      <c r="G58" s="54"/>
      <c r="H58" s="54"/>
    </row>
    <row r="59" spans="1:9" x14ac:dyDescent="0.2">
      <c r="A59" s="98" t="s">
        <v>62</v>
      </c>
      <c r="B59" s="95">
        <v>2000</v>
      </c>
      <c r="C59" s="96">
        <f t="shared" si="4"/>
        <v>40.816326530612244</v>
      </c>
      <c r="D59" s="97">
        <v>43974</v>
      </c>
      <c r="E59" s="54"/>
      <c r="F59" s="54"/>
      <c r="G59" s="54"/>
      <c r="H59" s="54"/>
    </row>
    <row r="60" spans="1:9" x14ac:dyDescent="0.2">
      <c r="A60" s="94" t="s">
        <v>63</v>
      </c>
      <c r="B60" s="95">
        <v>2000</v>
      </c>
      <c r="C60" s="96">
        <f t="shared" si="4"/>
        <v>40.816326530612244</v>
      </c>
      <c r="D60" s="97">
        <v>43974</v>
      </c>
      <c r="E60" s="54"/>
      <c r="F60" s="54"/>
      <c r="G60" s="54"/>
      <c r="H60" s="54"/>
    </row>
    <row r="61" spans="1:9" x14ac:dyDescent="0.2">
      <c r="A61" s="94" t="s">
        <v>64</v>
      </c>
      <c r="B61" s="95">
        <v>2500</v>
      </c>
      <c r="C61" s="96">
        <f t="shared" si="4"/>
        <v>51.020408163265309</v>
      </c>
      <c r="D61" s="97">
        <v>44674</v>
      </c>
      <c r="E61" s="54"/>
      <c r="F61" s="54"/>
      <c r="G61" s="54"/>
      <c r="H61" s="54"/>
    </row>
    <row r="62" spans="1:9" x14ac:dyDescent="0.2">
      <c r="A62" s="94" t="s">
        <v>63</v>
      </c>
      <c r="B62" s="95">
        <v>2500</v>
      </c>
      <c r="C62" s="96">
        <f t="shared" si="4"/>
        <v>51.020408163265309</v>
      </c>
      <c r="D62" s="97">
        <v>44674</v>
      </c>
      <c r="E62" s="54"/>
      <c r="F62" s="54"/>
      <c r="G62" s="54"/>
      <c r="H62" s="54"/>
    </row>
    <row r="63" spans="1:9" x14ac:dyDescent="0.2">
      <c r="A63" s="94"/>
      <c r="B63" s="95"/>
      <c r="C63" s="96"/>
      <c r="D63" s="98"/>
      <c r="E63" s="54"/>
      <c r="F63" s="54"/>
      <c r="G63" s="54"/>
      <c r="H63" s="54"/>
    </row>
    <row r="64" spans="1:9" x14ac:dyDescent="0.2">
      <c r="A64" s="99" t="s">
        <v>18</v>
      </c>
      <c r="B64" s="100">
        <f>SUM(B57:B63)</f>
        <v>12500</v>
      </c>
      <c r="C64" s="101">
        <f>SUM(C57:C63)</f>
        <v>255.10204081632651</v>
      </c>
      <c r="D64" s="98"/>
      <c r="E64" s="54"/>
      <c r="F64" s="54"/>
      <c r="G64" s="54"/>
      <c r="H64" s="54"/>
    </row>
    <row r="65" spans="1:8" x14ac:dyDescent="0.2">
      <c r="A65" s="98"/>
      <c r="B65" s="98"/>
      <c r="C65" s="98"/>
      <c r="D65" s="98"/>
      <c r="E65" s="54"/>
      <c r="F65" s="54"/>
      <c r="G65" s="54"/>
      <c r="H65" s="91"/>
    </row>
    <row r="66" spans="1:8" x14ac:dyDescent="0.2">
      <c r="A66" s="102" t="s">
        <v>19</v>
      </c>
      <c r="B66" s="98"/>
      <c r="C66" s="98"/>
      <c r="D66" s="98"/>
      <c r="E66" s="54"/>
      <c r="F66" s="54"/>
      <c r="G66" s="54"/>
      <c r="H66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F600-F791-144A-8155-7652A209B445}">
  <dimension ref="A2:J49"/>
  <sheetViews>
    <sheetView topLeftCell="A9" workbookViewId="0">
      <selection activeCell="G52" sqref="G52"/>
    </sheetView>
  </sheetViews>
  <sheetFormatPr defaultColWidth="10.76171875" defaultRowHeight="15" x14ac:dyDescent="0.2"/>
  <cols>
    <col min="1" max="1" width="22.05859375" bestFit="1" customWidth="1"/>
    <col min="2" max="2" width="13.71875" customWidth="1"/>
    <col min="3" max="3" width="15.6015625" customWidth="1"/>
    <col min="4" max="4" width="15.46875" bestFit="1" customWidth="1"/>
    <col min="5" max="5" width="13.046875" customWidth="1"/>
    <col min="6" max="6" width="11.1640625" customWidth="1"/>
  </cols>
  <sheetData>
    <row r="2" spans="1:8" ht="22.5" x14ac:dyDescent="0.3">
      <c r="C2" s="32" t="s">
        <v>20</v>
      </c>
    </row>
    <row r="3" spans="1:8" ht="23.25" thickBot="1" x14ac:dyDescent="0.35">
      <c r="C3" s="32"/>
    </row>
    <row r="4" spans="1:8" ht="21" x14ac:dyDescent="0.3">
      <c r="A4" s="3"/>
      <c r="B4" s="4" t="s">
        <v>65</v>
      </c>
      <c r="C4" s="15"/>
      <c r="D4" s="4"/>
      <c r="E4" s="4"/>
      <c r="F4" s="5"/>
      <c r="G4" s="54"/>
      <c r="H4" s="54"/>
    </row>
    <row r="5" spans="1:8" ht="18.75" x14ac:dyDescent="0.25">
      <c r="A5" s="2" t="s">
        <v>2</v>
      </c>
      <c r="B5" s="2" t="s">
        <v>22</v>
      </c>
      <c r="C5" s="2" t="s">
        <v>23</v>
      </c>
      <c r="D5" s="2" t="s">
        <v>24</v>
      </c>
      <c r="E5" s="2" t="s">
        <v>66</v>
      </c>
      <c r="F5" s="2" t="s">
        <v>5</v>
      </c>
      <c r="G5" s="54"/>
      <c r="H5" s="54"/>
    </row>
    <row r="6" spans="1:8" ht="18.75" x14ac:dyDescent="0.25">
      <c r="A6" s="24" t="s">
        <v>67</v>
      </c>
      <c r="B6" s="24">
        <v>1</v>
      </c>
      <c r="C6" s="25">
        <v>250</v>
      </c>
      <c r="D6" s="25">
        <f>C6*B6</f>
        <v>250</v>
      </c>
      <c r="E6" s="26">
        <f>D6/50</f>
        <v>5</v>
      </c>
      <c r="F6" s="27">
        <v>44647</v>
      </c>
      <c r="G6" s="54"/>
      <c r="H6" s="54"/>
    </row>
    <row r="7" spans="1:8" x14ac:dyDescent="0.2">
      <c r="A7" s="52" t="s">
        <v>26</v>
      </c>
      <c r="B7" s="103">
        <v>1</v>
      </c>
      <c r="C7" s="48">
        <v>5000</v>
      </c>
      <c r="D7" s="48">
        <f>C7*B7</f>
        <v>5000</v>
      </c>
      <c r="E7" s="50">
        <f>D7/50</f>
        <v>100</v>
      </c>
      <c r="F7" s="51">
        <v>44654</v>
      </c>
      <c r="G7" s="54"/>
      <c r="H7" s="54"/>
    </row>
    <row r="8" spans="1:8" x14ac:dyDescent="0.2">
      <c r="A8" s="52" t="s">
        <v>68</v>
      </c>
      <c r="B8" s="103">
        <v>1</v>
      </c>
      <c r="C8" s="48">
        <v>2500</v>
      </c>
      <c r="D8" s="48">
        <f>C8*B8</f>
        <v>2500</v>
      </c>
      <c r="E8" s="50">
        <f>D8/50</f>
        <v>50</v>
      </c>
      <c r="F8" s="51">
        <v>44654</v>
      </c>
      <c r="G8" s="54"/>
      <c r="H8" s="54"/>
    </row>
    <row r="9" spans="1:8" x14ac:dyDescent="0.2">
      <c r="A9" s="52"/>
      <c r="B9" s="52"/>
      <c r="C9" s="48"/>
      <c r="D9" s="48"/>
      <c r="E9" s="52"/>
      <c r="F9" s="52"/>
      <c r="G9" s="54"/>
      <c r="H9" s="54"/>
    </row>
    <row r="10" spans="1:8" x14ac:dyDescent="0.2">
      <c r="A10" s="104" t="s">
        <v>18</v>
      </c>
      <c r="B10" s="104"/>
      <c r="C10" s="49">
        <f>SUM(C6:C8)</f>
        <v>7750</v>
      </c>
      <c r="D10" s="49">
        <f>SUM(D6:D8)</f>
        <v>7750</v>
      </c>
      <c r="E10" s="105">
        <f>SUM(E6:E8)</f>
        <v>155</v>
      </c>
      <c r="F10" s="52"/>
      <c r="G10" s="54"/>
      <c r="H10" s="54"/>
    </row>
    <row r="11" spans="1:8" x14ac:dyDescent="0.2">
      <c r="A11" s="106"/>
      <c r="B11" s="107"/>
      <c r="C11" s="107"/>
      <c r="D11" s="108"/>
      <c r="E11" s="107"/>
      <c r="F11" s="109"/>
      <c r="G11" s="54"/>
      <c r="H11" s="54"/>
    </row>
    <row r="12" spans="1:8" ht="15.75" thickBot="1" x14ac:dyDescent="0.25">
      <c r="A12" s="37" t="s">
        <v>69</v>
      </c>
      <c r="B12" s="110"/>
      <c r="C12" s="110"/>
      <c r="D12" s="110"/>
      <c r="E12" s="110"/>
      <c r="F12" s="111"/>
      <c r="G12" s="54"/>
      <c r="H12" s="54"/>
    </row>
    <row r="13" spans="1:8" x14ac:dyDescent="0.2">
      <c r="A13" s="54"/>
      <c r="B13" s="54"/>
      <c r="C13" s="54"/>
      <c r="D13" s="54"/>
      <c r="E13" s="54"/>
      <c r="F13" s="54"/>
      <c r="G13" s="54"/>
      <c r="H13" s="54"/>
    </row>
    <row r="14" spans="1:8" x14ac:dyDescent="0.2">
      <c r="A14" s="54"/>
      <c r="B14" s="54"/>
      <c r="C14" s="54"/>
      <c r="D14" s="54"/>
      <c r="E14" s="54"/>
      <c r="F14" s="54"/>
      <c r="G14" s="54"/>
      <c r="H14" s="54"/>
    </row>
    <row r="15" spans="1:8" x14ac:dyDescent="0.2">
      <c r="A15" s="54"/>
      <c r="B15" s="54"/>
      <c r="C15" s="54"/>
      <c r="D15" s="54"/>
      <c r="E15" s="54"/>
      <c r="F15" s="54"/>
      <c r="G15" s="54"/>
      <c r="H15" s="54"/>
    </row>
    <row r="16" spans="1:8" ht="21" x14ac:dyDescent="0.3">
      <c r="A16" s="12"/>
      <c r="B16" s="14"/>
      <c r="C16" s="14" t="s">
        <v>70</v>
      </c>
      <c r="D16" s="12"/>
      <c r="E16" s="12"/>
      <c r="F16" s="12"/>
      <c r="G16" s="54"/>
      <c r="H16" s="54"/>
    </row>
    <row r="17" spans="1:10" ht="18.75" x14ac:dyDescent="0.25">
      <c r="A17" s="13" t="s">
        <v>2</v>
      </c>
      <c r="B17" s="13" t="s">
        <v>22</v>
      </c>
      <c r="C17" s="13" t="s">
        <v>23</v>
      </c>
      <c r="D17" s="13" t="s">
        <v>24</v>
      </c>
      <c r="E17" s="13" t="s">
        <v>66</v>
      </c>
      <c r="F17" s="19" t="s">
        <v>5</v>
      </c>
      <c r="G17" s="54"/>
      <c r="H17" s="54"/>
    </row>
    <row r="18" spans="1:10" x14ac:dyDescent="0.2">
      <c r="A18" s="112" t="s">
        <v>71</v>
      </c>
      <c r="B18" s="113">
        <v>1</v>
      </c>
      <c r="C18" s="114">
        <v>1000</v>
      </c>
      <c r="D18" s="114">
        <f>C18*B18</f>
        <v>1000</v>
      </c>
      <c r="E18" s="115">
        <f>D18/50</f>
        <v>20</v>
      </c>
      <c r="F18" s="116">
        <v>44667</v>
      </c>
      <c r="G18" s="54"/>
      <c r="H18" s="54"/>
    </row>
    <row r="19" spans="1:10" x14ac:dyDescent="0.2">
      <c r="A19" s="112" t="s">
        <v>29</v>
      </c>
      <c r="B19" s="112">
        <v>75</v>
      </c>
      <c r="C19" s="114">
        <v>320</v>
      </c>
      <c r="D19" s="114">
        <f>C19*B19</f>
        <v>24000</v>
      </c>
      <c r="E19" s="115">
        <f>D19/50</f>
        <v>480</v>
      </c>
      <c r="F19" s="116">
        <v>44669</v>
      </c>
      <c r="G19" s="54"/>
      <c r="H19" s="54"/>
    </row>
    <row r="20" spans="1:10" x14ac:dyDescent="0.2">
      <c r="A20" s="112" t="s">
        <v>72</v>
      </c>
      <c r="B20" s="112">
        <v>75</v>
      </c>
      <c r="C20" s="114">
        <v>20</v>
      </c>
      <c r="D20" s="114">
        <f>C20*B20</f>
        <v>1500</v>
      </c>
      <c r="E20" s="115">
        <f t="shared" ref="E20:E45" si="0">D20/50</f>
        <v>30</v>
      </c>
      <c r="F20" s="116">
        <v>44669</v>
      </c>
      <c r="G20" s="54"/>
      <c r="H20" s="54"/>
    </row>
    <row r="21" spans="1:10" x14ac:dyDescent="0.2">
      <c r="A21" s="112" t="s">
        <v>73</v>
      </c>
      <c r="B21" s="112">
        <v>1</v>
      </c>
      <c r="C21" s="114">
        <v>3000</v>
      </c>
      <c r="D21" s="114">
        <f>C21*B21</f>
        <v>3000</v>
      </c>
      <c r="E21" s="115">
        <f t="shared" si="0"/>
        <v>60</v>
      </c>
      <c r="F21" s="116">
        <v>44669</v>
      </c>
      <c r="G21" s="54"/>
      <c r="H21" s="54"/>
    </row>
    <row r="22" spans="1:10" x14ac:dyDescent="0.2">
      <c r="A22" s="112" t="s">
        <v>74</v>
      </c>
      <c r="B22" s="112">
        <v>1</v>
      </c>
      <c r="C22" s="114">
        <v>1400</v>
      </c>
      <c r="D22" s="114">
        <f t="shared" ref="D22:D27" si="1">C22*B22</f>
        <v>1400</v>
      </c>
      <c r="E22" s="115">
        <f t="shared" si="0"/>
        <v>28</v>
      </c>
      <c r="F22" s="116">
        <v>44669</v>
      </c>
      <c r="G22" s="54"/>
      <c r="H22" s="54"/>
    </row>
    <row r="23" spans="1:10" x14ac:dyDescent="0.2">
      <c r="A23" s="112" t="s">
        <v>75</v>
      </c>
      <c r="B23" s="112">
        <v>2</v>
      </c>
      <c r="C23" s="114">
        <v>100</v>
      </c>
      <c r="D23" s="114">
        <f t="shared" si="1"/>
        <v>200</v>
      </c>
      <c r="E23" s="115">
        <f t="shared" si="0"/>
        <v>4</v>
      </c>
      <c r="F23" s="116">
        <v>44669</v>
      </c>
      <c r="G23" s="54"/>
      <c r="H23" s="54"/>
    </row>
    <row r="24" spans="1:10" x14ac:dyDescent="0.2">
      <c r="A24" s="112" t="s">
        <v>76</v>
      </c>
      <c r="B24" s="112">
        <v>2</v>
      </c>
      <c r="C24" s="114">
        <v>8000</v>
      </c>
      <c r="D24" s="114">
        <f t="shared" si="1"/>
        <v>16000</v>
      </c>
      <c r="E24" s="115">
        <f t="shared" si="0"/>
        <v>320</v>
      </c>
      <c r="F24" s="116">
        <v>44669</v>
      </c>
      <c r="G24" s="54"/>
      <c r="H24" s="54"/>
    </row>
    <row r="25" spans="1:10" x14ac:dyDescent="0.2">
      <c r="A25" s="112" t="s">
        <v>77</v>
      </c>
      <c r="B25" s="112">
        <v>1</v>
      </c>
      <c r="C25" s="114">
        <v>1600</v>
      </c>
      <c r="D25" s="114">
        <f t="shared" si="1"/>
        <v>1600</v>
      </c>
      <c r="E25" s="115">
        <f t="shared" si="0"/>
        <v>32</v>
      </c>
      <c r="F25" s="116">
        <v>44669</v>
      </c>
      <c r="G25" s="54"/>
      <c r="H25" s="54"/>
      <c r="J25" t="s">
        <v>78</v>
      </c>
    </row>
    <row r="26" spans="1:10" x14ac:dyDescent="0.2">
      <c r="A26" s="112" t="s">
        <v>79</v>
      </c>
      <c r="B26" s="112">
        <v>1</v>
      </c>
      <c r="C26" s="114">
        <v>500</v>
      </c>
      <c r="D26" s="114">
        <f t="shared" si="1"/>
        <v>500</v>
      </c>
      <c r="E26" s="115">
        <f t="shared" si="0"/>
        <v>10</v>
      </c>
      <c r="F26" s="116">
        <v>44669</v>
      </c>
      <c r="G26" s="54"/>
      <c r="H26" s="54"/>
    </row>
    <row r="27" spans="1:10" x14ac:dyDescent="0.2">
      <c r="A27" s="112" t="s">
        <v>80</v>
      </c>
      <c r="B27" s="112">
        <v>1</v>
      </c>
      <c r="C27" s="114">
        <v>300</v>
      </c>
      <c r="D27" s="114">
        <f t="shared" si="1"/>
        <v>300</v>
      </c>
      <c r="E27" s="115">
        <f t="shared" si="0"/>
        <v>6</v>
      </c>
      <c r="F27" s="116">
        <v>44669</v>
      </c>
      <c r="G27" s="54"/>
      <c r="H27" s="54"/>
    </row>
    <row r="28" spans="1:10" x14ac:dyDescent="0.2">
      <c r="A28" s="112" t="s">
        <v>81</v>
      </c>
      <c r="B28" s="112" t="s">
        <v>82</v>
      </c>
      <c r="C28" s="114" t="s">
        <v>39</v>
      </c>
      <c r="D28" s="114">
        <v>1500</v>
      </c>
      <c r="E28" s="115">
        <f t="shared" si="0"/>
        <v>30</v>
      </c>
      <c r="F28" s="116"/>
      <c r="G28" s="54"/>
      <c r="H28" s="54"/>
      <c r="J28" t="s">
        <v>83</v>
      </c>
    </row>
    <row r="29" spans="1:10" x14ac:dyDescent="0.2">
      <c r="A29" s="112" t="s">
        <v>71</v>
      </c>
      <c r="B29" s="112">
        <v>1</v>
      </c>
      <c r="C29" s="114">
        <v>1000</v>
      </c>
      <c r="D29" s="114">
        <f t="shared" ref="D29:D44" si="2">C29*B29</f>
        <v>1000</v>
      </c>
      <c r="E29" s="115">
        <f t="shared" si="0"/>
        <v>20</v>
      </c>
      <c r="F29" s="116">
        <v>44670</v>
      </c>
      <c r="G29" s="54"/>
      <c r="H29" s="54"/>
    </row>
    <row r="30" spans="1:10" x14ac:dyDescent="0.2">
      <c r="A30" s="112" t="s">
        <v>29</v>
      </c>
      <c r="B30" s="112">
        <v>120</v>
      </c>
      <c r="C30" s="114">
        <v>325</v>
      </c>
      <c r="D30" s="114">
        <f t="shared" si="2"/>
        <v>39000</v>
      </c>
      <c r="E30" s="115">
        <f t="shared" si="0"/>
        <v>780</v>
      </c>
      <c r="F30" s="116">
        <v>44671</v>
      </c>
      <c r="G30" s="54"/>
      <c r="H30" s="54"/>
    </row>
    <row r="31" spans="1:10" x14ac:dyDescent="0.2">
      <c r="A31" s="112" t="s">
        <v>72</v>
      </c>
      <c r="B31" s="112">
        <v>120</v>
      </c>
      <c r="C31" s="114">
        <v>15</v>
      </c>
      <c r="D31" s="114">
        <f t="shared" si="2"/>
        <v>1800</v>
      </c>
      <c r="E31" s="115">
        <f t="shared" si="0"/>
        <v>36</v>
      </c>
      <c r="F31" s="116">
        <v>44671</v>
      </c>
      <c r="G31" s="54"/>
      <c r="H31" s="54"/>
    </row>
    <row r="32" spans="1:10" x14ac:dyDescent="0.2">
      <c r="A32" s="112" t="s">
        <v>76</v>
      </c>
      <c r="B32" s="112">
        <v>1</v>
      </c>
      <c r="C32" s="114">
        <v>8000</v>
      </c>
      <c r="D32" s="114">
        <f t="shared" si="2"/>
        <v>8000</v>
      </c>
      <c r="E32" s="115">
        <f t="shared" si="0"/>
        <v>160</v>
      </c>
      <c r="F32" s="116">
        <v>44671</v>
      </c>
      <c r="G32" s="54"/>
      <c r="H32" s="54"/>
    </row>
    <row r="33" spans="1:8" x14ac:dyDescent="0.2">
      <c r="A33" s="112" t="s">
        <v>77</v>
      </c>
      <c r="B33" s="112">
        <v>1</v>
      </c>
      <c r="C33" s="114">
        <v>800</v>
      </c>
      <c r="D33" s="114">
        <f t="shared" si="2"/>
        <v>800</v>
      </c>
      <c r="E33" s="115">
        <f t="shared" si="0"/>
        <v>16</v>
      </c>
      <c r="F33" s="116">
        <v>44671</v>
      </c>
      <c r="G33" s="54"/>
      <c r="H33" s="54"/>
    </row>
    <row r="34" spans="1:8" x14ac:dyDescent="0.2">
      <c r="A34" s="112" t="s">
        <v>84</v>
      </c>
      <c r="B34" s="112">
        <v>1</v>
      </c>
      <c r="C34" s="114">
        <v>700</v>
      </c>
      <c r="D34" s="114">
        <f t="shared" si="2"/>
        <v>700</v>
      </c>
      <c r="E34" s="115">
        <f t="shared" si="0"/>
        <v>14</v>
      </c>
      <c r="F34" s="116">
        <v>44671</v>
      </c>
      <c r="G34" s="54"/>
      <c r="H34" s="54"/>
    </row>
    <row r="35" spans="1:8" x14ac:dyDescent="0.2">
      <c r="A35" s="112" t="s">
        <v>80</v>
      </c>
      <c r="B35" s="112">
        <v>1</v>
      </c>
      <c r="C35" s="114">
        <v>500</v>
      </c>
      <c r="D35" s="114">
        <f t="shared" si="2"/>
        <v>500</v>
      </c>
      <c r="E35" s="115">
        <f t="shared" si="0"/>
        <v>10</v>
      </c>
      <c r="F35" s="116">
        <v>44671</v>
      </c>
      <c r="G35" s="54"/>
      <c r="H35" s="54"/>
    </row>
    <row r="36" spans="1:8" x14ac:dyDescent="0.2">
      <c r="A36" s="112" t="s">
        <v>71</v>
      </c>
      <c r="B36" s="112">
        <v>1</v>
      </c>
      <c r="C36" s="114">
        <v>600</v>
      </c>
      <c r="D36" s="114">
        <f t="shared" si="2"/>
        <v>600</v>
      </c>
      <c r="E36" s="115">
        <f t="shared" si="0"/>
        <v>12</v>
      </c>
      <c r="F36" s="116">
        <v>44673</v>
      </c>
      <c r="G36" s="54"/>
      <c r="H36" s="54"/>
    </row>
    <row r="37" spans="1:8" x14ac:dyDescent="0.2">
      <c r="A37" s="112" t="s">
        <v>85</v>
      </c>
      <c r="B37" s="112">
        <v>2</v>
      </c>
      <c r="C37" s="114">
        <v>8000</v>
      </c>
      <c r="D37" s="114">
        <f t="shared" si="2"/>
        <v>16000</v>
      </c>
      <c r="E37" s="115">
        <f t="shared" si="0"/>
        <v>320</v>
      </c>
      <c r="F37" s="116">
        <v>44674</v>
      </c>
      <c r="G37" s="54"/>
      <c r="H37" s="54"/>
    </row>
    <row r="38" spans="1:8" x14ac:dyDescent="0.2">
      <c r="A38" s="112" t="s">
        <v>86</v>
      </c>
      <c r="B38" s="112">
        <v>4210</v>
      </c>
      <c r="C38" s="114">
        <v>6</v>
      </c>
      <c r="D38" s="114">
        <f t="shared" si="2"/>
        <v>25260</v>
      </c>
      <c r="E38" s="115">
        <f t="shared" si="0"/>
        <v>505.2</v>
      </c>
      <c r="F38" s="116"/>
      <c r="G38" s="54"/>
      <c r="H38" s="54"/>
    </row>
    <row r="39" spans="1:8" x14ac:dyDescent="0.2">
      <c r="A39" s="112" t="s">
        <v>87</v>
      </c>
      <c r="B39" s="112">
        <v>1</v>
      </c>
      <c r="C39" s="114">
        <v>1800</v>
      </c>
      <c r="D39" s="114">
        <f t="shared" si="2"/>
        <v>1800</v>
      </c>
      <c r="E39" s="115">
        <f t="shared" si="0"/>
        <v>36</v>
      </c>
      <c r="F39" s="116"/>
      <c r="G39" s="54"/>
      <c r="H39" s="54"/>
    </row>
    <row r="40" spans="1:8" x14ac:dyDescent="0.2">
      <c r="A40" s="112" t="s">
        <v>76</v>
      </c>
      <c r="B40" s="112">
        <v>1</v>
      </c>
      <c r="C40" s="114">
        <v>8000</v>
      </c>
      <c r="D40" s="114">
        <f t="shared" si="2"/>
        <v>8000</v>
      </c>
      <c r="E40" s="115">
        <f t="shared" si="0"/>
        <v>160</v>
      </c>
      <c r="F40" s="116"/>
      <c r="G40" s="54"/>
      <c r="H40" s="54"/>
    </row>
    <row r="41" spans="1:8" x14ac:dyDescent="0.2">
      <c r="A41" s="112" t="s">
        <v>88</v>
      </c>
      <c r="B41" s="112">
        <v>1</v>
      </c>
      <c r="C41" s="114">
        <v>5500</v>
      </c>
      <c r="D41" s="114">
        <f t="shared" si="2"/>
        <v>5500</v>
      </c>
      <c r="E41" s="115">
        <f t="shared" si="0"/>
        <v>110</v>
      </c>
      <c r="F41" s="116"/>
      <c r="G41" s="54"/>
      <c r="H41" s="54"/>
    </row>
    <row r="42" spans="1:8" x14ac:dyDescent="0.2">
      <c r="A42" s="112" t="s">
        <v>29</v>
      </c>
      <c r="B42" s="112">
        <v>55</v>
      </c>
      <c r="C42" s="114">
        <v>330</v>
      </c>
      <c r="D42" s="114">
        <f t="shared" si="2"/>
        <v>18150</v>
      </c>
      <c r="E42" s="115">
        <f t="shared" si="0"/>
        <v>363</v>
      </c>
      <c r="F42" s="116"/>
      <c r="G42" s="54"/>
      <c r="H42" s="54"/>
    </row>
    <row r="43" spans="1:8" x14ac:dyDescent="0.2">
      <c r="A43" s="112" t="s">
        <v>30</v>
      </c>
      <c r="B43" s="112">
        <v>55</v>
      </c>
      <c r="C43" s="114">
        <v>15</v>
      </c>
      <c r="D43" s="114">
        <f t="shared" si="2"/>
        <v>825</v>
      </c>
      <c r="E43" s="115">
        <f t="shared" si="0"/>
        <v>16.5</v>
      </c>
      <c r="F43" s="116"/>
      <c r="G43" s="54"/>
      <c r="H43" s="54"/>
    </row>
    <row r="44" spans="1:8" x14ac:dyDescent="0.2">
      <c r="A44" s="112" t="s">
        <v>89</v>
      </c>
      <c r="B44" s="112">
        <v>2675</v>
      </c>
      <c r="C44" s="114">
        <v>6</v>
      </c>
      <c r="D44" s="114">
        <f t="shared" si="2"/>
        <v>16050</v>
      </c>
      <c r="E44" s="115">
        <f t="shared" si="0"/>
        <v>321</v>
      </c>
      <c r="F44" s="116"/>
      <c r="G44" s="54"/>
      <c r="H44" s="54"/>
    </row>
    <row r="45" spans="1:8" x14ac:dyDescent="0.2">
      <c r="A45" s="112" t="s">
        <v>90</v>
      </c>
      <c r="B45" s="112" t="s">
        <v>91</v>
      </c>
      <c r="C45" s="114" t="s">
        <v>91</v>
      </c>
      <c r="D45" s="114">
        <v>15</v>
      </c>
      <c r="E45" s="115">
        <f t="shared" si="0"/>
        <v>0.3</v>
      </c>
      <c r="F45" s="116" t="s">
        <v>92</v>
      </c>
      <c r="G45" s="54"/>
      <c r="H45" s="54"/>
    </row>
    <row r="46" spans="1:8" x14ac:dyDescent="0.2">
      <c r="A46" s="112"/>
      <c r="B46" s="112"/>
      <c r="C46" s="114"/>
      <c r="D46" s="114"/>
      <c r="E46" s="115"/>
      <c r="F46" s="116"/>
      <c r="G46" s="54"/>
      <c r="H46" s="54"/>
    </row>
    <row r="47" spans="1:8" x14ac:dyDescent="0.2">
      <c r="A47" s="99" t="s">
        <v>18</v>
      </c>
      <c r="B47" s="99"/>
      <c r="C47" s="100"/>
      <c r="D47" s="100">
        <f>SUM(D18:D45)</f>
        <v>195000</v>
      </c>
      <c r="E47" s="101">
        <f>SUM(E18:E45)</f>
        <v>3900</v>
      </c>
      <c r="F47" s="116"/>
      <c r="G47" s="54"/>
      <c r="H47" s="54"/>
    </row>
    <row r="48" spans="1:8" x14ac:dyDescent="0.2">
      <c r="A48" s="112"/>
      <c r="B48" s="112"/>
      <c r="C48" s="112"/>
      <c r="D48" s="114"/>
      <c r="E48" s="112"/>
      <c r="F48" s="116"/>
      <c r="G48" s="54"/>
      <c r="H48" s="54"/>
    </row>
    <row r="49" spans="1:8" x14ac:dyDescent="0.2">
      <c r="A49" s="102" t="s">
        <v>69</v>
      </c>
      <c r="B49" s="112"/>
      <c r="C49" s="112"/>
      <c r="D49" s="114"/>
      <c r="E49" s="112"/>
      <c r="F49" s="116"/>
      <c r="G49" s="54"/>
      <c r="H49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108B-E3B9-6746-99EC-98940F928F4C}">
  <dimension ref="A1:K22"/>
  <sheetViews>
    <sheetView workbookViewId="0">
      <selection activeCell="J25" sqref="J25"/>
    </sheetView>
  </sheetViews>
  <sheetFormatPr defaultColWidth="10.76171875" defaultRowHeight="15" x14ac:dyDescent="0.2"/>
  <cols>
    <col min="1" max="1" width="35.6484375" customWidth="1"/>
    <col min="3" max="3" width="20.4453125" bestFit="1" customWidth="1"/>
    <col min="4" max="4" width="15.46875" bestFit="1" customWidth="1"/>
    <col min="6" max="6" width="12.375" customWidth="1"/>
  </cols>
  <sheetData>
    <row r="1" spans="1:11" ht="22.5" x14ac:dyDescent="0.3">
      <c r="C1" s="32" t="s">
        <v>20</v>
      </c>
    </row>
    <row r="3" spans="1:11" ht="21" x14ac:dyDescent="0.3">
      <c r="A3" s="17" t="s">
        <v>93</v>
      </c>
      <c r="B3" s="17"/>
      <c r="C3" s="117"/>
      <c r="D3" s="117"/>
      <c r="E3" s="117"/>
      <c r="F3" s="117"/>
      <c r="G3" s="117"/>
      <c r="H3" s="117"/>
    </row>
    <row r="4" spans="1:11" ht="18.75" x14ac:dyDescent="0.25">
      <c r="A4" s="33" t="s">
        <v>2</v>
      </c>
      <c r="B4" s="33" t="s">
        <v>22</v>
      </c>
      <c r="C4" s="33" t="s">
        <v>23</v>
      </c>
      <c r="D4" s="33" t="s">
        <v>24</v>
      </c>
      <c r="E4" s="33" t="s">
        <v>66</v>
      </c>
      <c r="F4" s="33" t="s">
        <v>5</v>
      </c>
      <c r="G4" s="118" t="s">
        <v>94</v>
      </c>
      <c r="H4" s="118" t="s">
        <v>95</v>
      </c>
    </row>
    <row r="5" spans="1:11" x14ac:dyDescent="0.2">
      <c r="A5" s="119" t="s">
        <v>96</v>
      </c>
      <c r="B5" s="119">
        <v>1</v>
      </c>
      <c r="C5" s="34">
        <v>95000</v>
      </c>
      <c r="D5" s="120">
        <f t="shared" ref="D5:D13" si="0">C5*B5</f>
        <v>95000</v>
      </c>
      <c r="E5" s="121">
        <f t="shared" ref="E5:E13" si="1">D5/63</f>
        <v>1507.936507936508</v>
      </c>
      <c r="F5" s="122">
        <v>45101</v>
      </c>
      <c r="G5" s="123">
        <v>2000</v>
      </c>
      <c r="H5" s="124">
        <v>126000</v>
      </c>
    </row>
    <row r="6" spans="1:11" x14ac:dyDescent="0.2">
      <c r="A6" s="119" t="s">
        <v>97</v>
      </c>
      <c r="B6" s="119">
        <v>1</v>
      </c>
      <c r="C6" s="34">
        <v>6500</v>
      </c>
      <c r="D6" s="120">
        <f t="shared" si="0"/>
        <v>6500</v>
      </c>
      <c r="E6" s="121">
        <f t="shared" si="1"/>
        <v>103.17460317460318</v>
      </c>
      <c r="F6" s="122">
        <v>45102</v>
      </c>
      <c r="G6" s="119"/>
      <c r="H6" s="119"/>
      <c r="K6" s="31"/>
    </row>
    <row r="7" spans="1:11" x14ac:dyDescent="0.2">
      <c r="A7" s="119" t="s">
        <v>98</v>
      </c>
      <c r="B7" s="119">
        <v>34</v>
      </c>
      <c r="C7" s="119">
        <v>180</v>
      </c>
      <c r="D7" s="120">
        <f t="shared" si="0"/>
        <v>6120</v>
      </c>
      <c r="E7" s="121">
        <f t="shared" si="1"/>
        <v>97.142857142857139</v>
      </c>
      <c r="F7" s="122">
        <v>45102</v>
      </c>
      <c r="G7" s="119"/>
      <c r="H7" s="119"/>
    </row>
    <row r="8" spans="1:11" x14ac:dyDescent="0.2">
      <c r="A8" s="35" t="s">
        <v>99</v>
      </c>
      <c r="B8" s="119">
        <v>2.5</v>
      </c>
      <c r="C8" s="119">
        <v>4300</v>
      </c>
      <c r="D8" s="120">
        <f>C8*B8</f>
        <v>10750</v>
      </c>
      <c r="E8" s="121">
        <f t="shared" si="1"/>
        <v>170.63492063492063</v>
      </c>
      <c r="F8" s="122">
        <v>45102</v>
      </c>
      <c r="G8" s="119"/>
      <c r="H8" s="119"/>
    </row>
    <row r="9" spans="1:11" x14ac:dyDescent="0.2">
      <c r="A9" s="119" t="s">
        <v>100</v>
      </c>
      <c r="B9" s="119">
        <v>3</v>
      </c>
      <c r="C9" s="119">
        <v>100</v>
      </c>
      <c r="D9" s="120">
        <f t="shared" si="0"/>
        <v>300</v>
      </c>
      <c r="E9" s="121">
        <f t="shared" si="1"/>
        <v>4.7619047619047619</v>
      </c>
      <c r="F9" s="122">
        <v>45102</v>
      </c>
      <c r="G9" s="119"/>
      <c r="H9" s="119"/>
    </row>
    <row r="10" spans="1:11" x14ac:dyDescent="0.2">
      <c r="A10" s="119" t="s">
        <v>101</v>
      </c>
      <c r="B10" s="119">
        <v>3</v>
      </c>
      <c r="C10" s="119">
        <v>350</v>
      </c>
      <c r="D10" s="120">
        <f t="shared" si="0"/>
        <v>1050</v>
      </c>
      <c r="E10" s="121">
        <f t="shared" si="1"/>
        <v>16.666666666666668</v>
      </c>
      <c r="F10" s="122">
        <v>45102</v>
      </c>
      <c r="G10" s="119"/>
      <c r="H10" s="119"/>
    </row>
    <row r="11" spans="1:11" x14ac:dyDescent="0.2">
      <c r="A11" s="119" t="s">
        <v>102</v>
      </c>
      <c r="B11" s="119">
        <v>5</v>
      </c>
      <c r="C11" s="119">
        <v>300</v>
      </c>
      <c r="D11" s="120">
        <f t="shared" si="0"/>
        <v>1500</v>
      </c>
      <c r="E11" s="121">
        <f t="shared" si="1"/>
        <v>23.80952380952381</v>
      </c>
      <c r="F11" s="122">
        <v>45102</v>
      </c>
      <c r="G11" s="119"/>
      <c r="H11" s="119"/>
    </row>
    <row r="12" spans="1:11" x14ac:dyDescent="0.2">
      <c r="A12" s="119" t="s">
        <v>103</v>
      </c>
      <c r="B12" s="119">
        <v>1</v>
      </c>
      <c r="C12" s="119">
        <v>1600</v>
      </c>
      <c r="D12" s="120">
        <f t="shared" si="0"/>
        <v>1600</v>
      </c>
      <c r="E12" s="121">
        <f t="shared" si="1"/>
        <v>25.396825396825395</v>
      </c>
      <c r="F12" s="122">
        <v>45102</v>
      </c>
      <c r="G12" s="119"/>
      <c r="H12" s="119"/>
    </row>
    <row r="13" spans="1:11" x14ac:dyDescent="0.2">
      <c r="A13" s="119" t="s">
        <v>104</v>
      </c>
      <c r="B13" s="119">
        <v>1</v>
      </c>
      <c r="C13" s="119">
        <v>800</v>
      </c>
      <c r="D13" s="120">
        <f t="shared" si="0"/>
        <v>800</v>
      </c>
      <c r="E13" s="121">
        <f t="shared" si="1"/>
        <v>12.698412698412698</v>
      </c>
      <c r="F13" s="122">
        <v>45102</v>
      </c>
      <c r="G13" s="119"/>
      <c r="H13" s="119"/>
      <c r="J13" s="30" t="s">
        <v>105</v>
      </c>
      <c r="K13" s="30"/>
    </row>
    <row r="14" spans="1:11" x14ac:dyDescent="0.2">
      <c r="A14" s="119" t="s">
        <v>106</v>
      </c>
      <c r="B14" s="119">
        <v>1</v>
      </c>
      <c r="C14" s="119">
        <v>2380</v>
      </c>
      <c r="D14" s="120">
        <f>C14*B14</f>
        <v>2380</v>
      </c>
      <c r="E14" s="121">
        <f>D14/63</f>
        <v>37.777777777777779</v>
      </c>
      <c r="F14" s="119"/>
      <c r="G14" s="119"/>
      <c r="H14" s="119"/>
      <c r="J14" s="29">
        <f>H5-D19</f>
        <v>0</v>
      </c>
      <c r="K14" s="28"/>
    </row>
    <row r="15" spans="1:11" x14ac:dyDescent="0.2">
      <c r="A15" s="119"/>
      <c r="B15" s="119"/>
      <c r="C15" s="119"/>
      <c r="D15" s="120"/>
      <c r="E15" s="121"/>
      <c r="F15" s="119"/>
      <c r="G15" s="119"/>
      <c r="H15" s="119"/>
    </row>
    <row r="16" spans="1:11" x14ac:dyDescent="0.2">
      <c r="A16" s="119"/>
      <c r="B16" s="119"/>
      <c r="C16" s="119"/>
      <c r="D16" s="120"/>
      <c r="E16" s="121"/>
      <c r="F16" s="119"/>
      <c r="G16" s="119"/>
      <c r="H16" s="119"/>
    </row>
    <row r="17" spans="1:8" x14ac:dyDescent="0.2">
      <c r="A17" s="119"/>
      <c r="B17" s="119"/>
      <c r="C17" s="119"/>
      <c r="D17" s="120"/>
      <c r="E17" s="121"/>
      <c r="F17" s="119"/>
      <c r="G17" s="119"/>
      <c r="H17" s="119"/>
    </row>
    <row r="18" spans="1:8" x14ac:dyDescent="0.2">
      <c r="A18" s="119"/>
      <c r="B18" s="119"/>
      <c r="C18" s="119"/>
      <c r="D18" s="120"/>
      <c r="E18" s="121"/>
      <c r="F18" s="119"/>
      <c r="G18" s="119"/>
      <c r="H18" s="119"/>
    </row>
    <row r="19" spans="1:8" x14ac:dyDescent="0.2">
      <c r="A19" s="205" t="s">
        <v>18</v>
      </c>
      <c r="B19" s="205"/>
      <c r="C19" s="206"/>
      <c r="D19" s="206">
        <f>SUM(D5:D14)</f>
        <v>126000</v>
      </c>
      <c r="E19" s="207">
        <f>SUM(E5:E18)</f>
        <v>2000.0000000000002</v>
      </c>
      <c r="F19" s="120"/>
      <c r="G19" s="119"/>
      <c r="H19" s="119"/>
    </row>
    <row r="20" spans="1:8" x14ac:dyDescent="0.2">
      <c r="A20" s="125"/>
      <c r="B20" s="126"/>
      <c r="C20" s="126"/>
      <c r="D20" s="127"/>
      <c r="E20" s="126"/>
      <c r="F20" s="126"/>
      <c r="G20" s="126"/>
      <c r="H20" s="128"/>
    </row>
    <row r="21" spans="1:8" x14ac:dyDescent="0.2">
      <c r="A21" s="129" t="s">
        <v>107</v>
      </c>
      <c r="B21" s="130"/>
      <c r="C21" s="130"/>
      <c r="D21" s="131"/>
      <c r="E21" s="130"/>
      <c r="F21" s="130"/>
      <c r="G21" s="130"/>
      <c r="H21" s="132"/>
    </row>
    <row r="22" spans="1:8" x14ac:dyDescent="0.2">
      <c r="A22" s="54"/>
      <c r="B22" s="54"/>
      <c r="C22" s="54"/>
      <c r="D22" s="54"/>
      <c r="E22" s="54"/>
      <c r="F22" s="54"/>
      <c r="G22" s="54"/>
      <c r="H22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8146-87D5-094E-BD61-60BEFE0F9AB3}">
  <dimension ref="A2:H31"/>
  <sheetViews>
    <sheetView topLeftCell="A9" workbookViewId="0">
      <selection activeCell="E23" sqref="E23"/>
    </sheetView>
  </sheetViews>
  <sheetFormatPr defaultColWidth="10.76171875" defaultRowHeight="15" x14ac:dyDescent="0.2"/>
  <cols>
    <col min="1" max="1" width="22.734375" customWidth="1"/>
    <col min="2" max="2" width="20.3125" customWidth="1"/>
    <col min="3" max="3" width="17.21875" customWidth="1"/>
    <col min="4" max="4" width="17.21875" bestFit="1" customWidth="1"/>
    <col min="6" max="6" width="11.02734375" bestFit="1" customWidth="1"/>
  </cols>
  <sheetData>
    <row r="2" spans="1:8" ht="22.5" x14ac:dyDescent="0.3">
      <c r="C2" s="32" t="s">
        <v>20</v>
      </c>
    </row>
    <row r="3" spans="1:8" ht="23.25" thickBot="1" x14ac:dyDescent="0.35">
      <c r="C3" s="32"/>
    </row>
    <row r="4" spans="1:8" ht="21" x14ac:dyDescent="0.3">
      <c r="A4" s="3"/>
      <c r="B4" s="4" t="s">
        <v>108</v>
      </c>
      <c r="C4" s="15"/>
      <c r="D4" s="4"/>
      <c r="E4" s="4"/>
      <c r="F4" s="5"/>
    </row>
    <row r="5" spans="1:8" ht="18.75" x14ac:dyDescent="0.25">
      <c r="A5" s="2" t="s">
        <v>2</v>
      </c>
      <c r="B5" s="2" t="s">
        <v>22</v>
      </c>
      <c r="C5" s="2" t="s">
        <v>23</v>
      </c>
      <c r="D5" s="2" t="s">
        <v>24</v>
      </c>
      <c r="E5" s="2" t="s">
        <v>66</v>
      </c>
      <c r="F5" s="2" t="s">
        <v>5</v>
      </c>
    </row>
    <row r="6" spans="1:8" x14ac:dyDescent="0.2">
      <c r="A6" s="52" t="s">
        <v>109</v>
      </c>
      <c r="B6" s="52">
        <v>1</v>
      </c>
      <c r="C6" s="48">
        <v>4000</v>
      </c>
      <c r="D6" s="48">
        <f>C6*B6</f>
        <v>4000</v>
      </c>
      <c r="E6" s="50">
        <f>D6/61.5</f>
        <v>65.040650406504071</v>
      </c>
      <c r="F6" s="51">
        <v>45194</v>
      </c>
    </row>
    <row r="7" spans="1:8" x14ac:dyDescent="0.2">
      <c r="A7" s="52"/>
      <c r="B7" s="52"/>
      <c r="C7" s="48"/>
      <c r="D7" s="48"/>
      <c r="E7" s="52"/>
      <c r="F7" s="52"/>
    </row>
    <row r="8" spans="1:8" x14ac:dyDescent="0.2">
      <c r="A8" s="104" t="s">
        <v>18</v>
      </c>
      <c r="B8" s="104"/>
      <c r="C8" s="49">
        <f>SUM(C6:C6)</f>
        <v>4000</v>
      </c>
      <c r="D8" s="49">
        <f>SUM(D6:D6)</f>
        <v>4000</v>
      </c>
      <c r="E8" s="105">
        <f>SUM(E6:E6)</f>
        <v>65.040650406504071</v>
      </c>
      <c r="F8" s="52"/>
    </row>
    <row r="9" spans="1:8" x14ac:dyDescent="0.2">
      <c r="A9" s="106"/>
      <c r="B9" s="107"/>
      <c r="C9" s="107"/>
      <c r="D9" s="108"/>
      <c r="E9" s="107"/>
      <c r="F9" s="109"/>
    </row>
    <row r="10" spans="1:8" ht="15.75" thickBot="1" x14ac:dyDescent="0.25">
      <c r="A10" s="37" t="s">
        <v>110</v>
      </c>
      <c r="B10" s="110"/>
      <c r="C10" s="110"/>
      <c r="D10" s="110"/>
      <c r="E10" s="110"/>
      <c r="F10" s="111"/>
    </row>
    <row r="13" spans="1:8" ht="15.75" thickBot="1" x14ac:dyDescent="0.25"/>
    <row r="14" spans="1:8" ht="21" x14ac:dyDescent="0.3">
      <c r="A14" s="3"/>
      <c r="B14" s="4" t="s">
        <v>111</v>
      </c>
      <c r="C14" s="15"/>
      <c r="D14" s="4"/>
      <c r="E14" s="4"/>
      <c r="F14" s="5"/>
      <c r="H14" t="s">
        <v>112</v>
      </c>
    </row>
    <row r="15" spans="1:8" ht="18.75" x14ac:dyDescent="0.25">
      <c r="A15" s="2" t="s">
        <v>2</v>
      </c>
      <c r="B15" s="2" t="s">
        <v>22</v>
      </c>
      <c r="C15" s="2" t="s">
        <v>23</v>
      </c>
      <c r="D15" s="2" t="s">
        <v>24</v>
      </c>
      <c r="E15" s="2" t="s">
        <v>66</v>
      </c>
      <c r="F15" s="2" t="s">
        <v>5</v>
      </c>
      <c r="H15">
        <f>12000/64</f>
        <v>187.5</v>
      </c>
    </row>
    <row r="16" spans="1:8" x14ac:dyDescent="0.2">
      <c r="A16" s="52" t="s">
        <v>113</v>
      </c>
      <c r="B16" s="52">
        <v>1</v>
      </c>
      <c r="C16" s="48">
        <v>8000</v>
      </c>
      <c r="D16" s="48">
        <v>8000</v>
      </c>
      <c r="E16" s="50">
        <f>D16/64</f>
        <v>125</v>
      </c>
      <c r="F16" s="51">
        <v>45281</v>
      </c>
    </row>
    <row r="17" spans="1:8" x14ac:dyDescent="0.2">
      <c r="A17" s="52" t="s">
        <v>114</v>
      </c>
      <c r="B17" s="52">
        <v>1</v>
      </c>
      <c r="C17" s="48">
        <v>2000</v>
      </c>
      <c r="D17" s="48">
        <v>2000</v>
      </c>
      <c r="E17" s="52">
        <f>D17/64</f>
        <v>31.25</v>
      </c>
      <c r="F17" s="51">
        <v>45281</v>
      </c>
      <c r="H17" t="s">
        <v>115</v>
      </c>
    </row>
    <row r="18" spans="1:8" x14ac:dyDescent="0.2">
      <c r="A18" s="104" t="s">
        <v>18</v>
      </c>
      <c r="B18" s="104"/>
      <c r="C18" s="49">
        <f>SUM(C16:C17)</f>
        <v>10000</v>
      </c>
      <c r="D18" s="49">
        <f>SUM(D16:D17)</f>
        <v>10000</v>
      </c>
      <c r="E18" s="105">
        <f>SUM(E16:E17)</f>
        <v>156.25</v>
      </c>
      <c r="F18" s="52"/>
    </row>
    <row r="19" spans="1:8" x14ac:dyDescent="0.2">
      <c r="A19" s="106"/>
      <c r="B19" s="107"/>
      <c r="C19" s="107"/>
      <c r="D19" s="108"/>
      <c r="E19" s="107"/>
      <c r="F19" s="109"/>
    </row>
    <row r="20" spans="1:8" ht="15.75" thickBot="1" x14ac:dyDescent="0.25">
      <c r="A20" s="37" t="s">
        <v>116</v>
      </c>
      <c r="B20" s="110"/>
      <c r="C20" s="110"/>
      <c r="D20" s="110"/>
      <c r="E20" s="110"/>
      <c r="F20" s="111"/>
    </row>
    <row r="25" spans="1:8" ht="15.75" thickBot="1" x14ac:dyDescent="0.25"/>
    <row r="26" spans="1:8" ht="19.5" x14ac:dyDescent="0.25">
      <c r="A26" s="38"/>
      <c r="B26" s="4" t="s">
        <v>117</v>
      </c>
      <c r="C26" s="38"/>
      <c r="D26" s="38"/>
    </row>
    <row r="27" spans="1:8" ht="18.75" x14ac:dyDescent="0.2">
      <c r="A27" s="39" t="s">
        <v>59</v>
      </c>
      <c r="B27" s="39" t="s">
        <v>60</v>
      </c>
      <c r="C27" s="39" t="s">
        <v>61</v>
      </c>
      <c r="D27" s="39" t="s">
        <v>5</v>
      </c>
    </row>
    <row r="28" spans="1:8" x14ac:dyDescent="0.2">
      <c r="A28" s="40" t="s">
        <v>63</v>
      </c>
      <c r="B28" s="41">
        <v>2000</v>
      </c>
      <c r="C28" s="42">
        <f>B28/64</f>
        <v>31.25</v>
      </c>
      <c r="D28" s="43">
        <v>45280</v>
      </c>
    </row>
    <row r="29" spans="1:8" x14ac:dyDescent="0.2">
      <c r="A29" s="40"/>
      <c r="B29" s="41"/>
      <c r="C29" s="42"/>
      <c r="D29" s="43"/>
    </row>
    <row r="30" spans="1:8" x14ac:dyDescent="0.2">
      <c r="A30" s="44" t="s">
        <v>18</v>
      </c>
      <c r="B30" s="45">
        <v>2000</v>
      </c>
      <c r="C30" s="46">
        <f>SUM(C28:C29)</f>
        <v>31.25</v>
      </c>
      <c r="D30" s="40"/>
    </row>
    <row r="31" spans="1:8" x14ac:dyDescent="0.2">
      <c r="A31" s="47" t="s">
        <v>116</v>
      </c>
      <c r="B31" s="40"/>
      <c r="C31" s="40"/>
      <c r="D31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2FEE-316F-0A4A-9AF8-2286779B1A37}">
  <dimension ref="A2:P583"/>
  <sheetViews>
    <sheetView topLeftCell="A306" zoomScaleNormal="100" zoomScaleSheetLayoutView="100" workbookViewId="0">
      <selection activeCell="H71" sqref="H71"/>
    </sheetView>
  </sheetViews>
  <sheetFormatPr defaultRowHeight="15" x14ac:dyDescent="0.2"/>
  <cols>
    <col min="1" max="1" width="29.86328125" customWidth="1"/>
    <col min="2" max="2" width="18.96484375" customWidth="1"/>
    <col min="3" max="3" width="17.62109375" customWidth="1"/>
    <col min="4" max="4" width="16.94921875" bestFit="1" customWidth="1"/>
    <col min="5" max="5" width="17.21875" hidden="1" customWidth="1"/>
    <col min="6" max="6" width="11.56640625" customWidth="1"/>
    <col min="7" max="7" width="9.28125" bestFit="1" customWidth="1"/>
    <col min="8" max="8" width="14.125" style="268" customWidth="1"/>
    <col min="9" max="9" width="11.97265625" customWidth="1"/>
    <col min="10" max="10" width="14.52734375" bestFit="1" customWidth="1"/>
    <col min="11" max="11" width="9.28125" customWidth="1"/>
    <col min="12" max="12" width="9.14453125" bestFit="1" customWidth="1"/>
    <col min="14" max="15" width="11.703125" customWidth="1"/>
  </cols>
  <sheetData>
    <row r="2" spans="1:15" ht="19.5" x14ac:dyDescent="0.25">
      <c r="C2" s="134" t="s">
        <v>20</v>
      </c>
      <c r="E2" s="135"/>
    </row>
    <row r="5" spans="1:15" ht="21" x14ac:dyDescent="0.3">
      <c r="A5" s="164"/>
      <c r="B5" s="10" t="s">
        <v>118</v>
      </c>
      <c r="C5" s="16"/>
      <c r="D5" s="10"/>
      <c r="E5" s="10"/>
      <c r="F5" s="10"/>
    </row>
    <row r="6" spans="1:15" ht="19.5" x14ac:dyDescent="0.25">
      <c r="A6" s="2" t="s">
        <v>2</v>
      </c>
      <c r="B6" s="2" t="s">
        <v>22</v>
      </c>
      <c r="C6" s="2" t="s">
        <v>23</v>
      </c>
      <c r="D6" s="2" t="s">
        <v>24</v>
      </c>
      <c r="E6" s="158" t="s">
        <v>119</v>
      </c>
      <c r="F6" s="159" t="s">
        <v>120</v>
      </c>
    </row>
    <row r="7" spans="1:15" x14ac:dyDescent="0.2">
      <c r="A7" s="52" t="s">
        <v>121</v>
      </c>
      <c r="B7" s="52">
        <v>25</v>
      </c>
      <c r="C7" s="48">
        <v>100</v>
      </c>
      <c r="D7" s="48">
        <f>C7*B7</f>
        <v>2500</v>
      </c>
      <c r="E7" s="50">
        <f>D7/67.5</f>
        <v>37.037037037037038</v>
      </c>
      <c r="F7" s="160">
        <v>45292</v>
      </c>
    </row>
    <row r="8" spans="1:15" x14ac:dyDescent="0.2">
      <c r="A8" s="52" t="s">
        <v>122</v>
      </c>
      <c r="B8" s="52">
        <v>15</v>
      </c>
      <c r="C8" s="48">
        <v>35</v>
      </c>
      <c r="D8" s="48">
        <v>500</v>
      </c>
      <c r="E8" s="50">
        <f>D8/67.5</f>
        <v>7.4074074074074074</v>
      </c>
      <c r="F8" s="51">
        <v>45292</v>
      </c>
    </row>
    <row r="9" spans="1:15" x14ac:dyDescent="0.2">
      <c r="A9" s="52" t="s">
        <v>123</v>
      </c>
      <c r="B9" s="52">
        <v>2</v>
      </c>
      <c r="C9" s="48">
        <v>100</v>
      </c>
      <c r="D9" s="48">
        <f>B9*C9</f>
        <v>200</v>
      </c>
      <c r="E9" s="50">
        <f t="shared" ref="E9:E23" si="0">D9/67.5</f>
        <v>2.9629629629629628</v>
      </c>
      <c r="F9" s="51">
        <v>45292</v>
      </c>
      <c r="O9" t="s">
        <v>124</v>
      </c>
    </row>
    <row r="10" spans="1:15" x14ac:dyDescent="0.2">
      <c r="A10" s="52" t="s">
        <v>125</v>
      </c>
      <c r="B10" s="52">
        <v>2</v>
      </c>
      <c r="C10" s="48">
        <v>100</v>
      </c>
      <c r="D10" s="48">
        <f>B10*C10</f>
        <v>200</v>
      </c>
      <c r="E10" s="50">
        <f t="shared" si="0"/>
        <v>2.9629629629629628</v>
      </c>
      <c r="F10" s="51">
        <v>45292</v>
      </c>
    </row>
    <row r="11" spans="1:15" x14ac:dyDescent="0.2">
      <c r="A11" s="52" t="s">
        <v>126</v>
      </c>
      <c r="B11" s="52">
        <v>1</v>
      </c>
      <c r="C11" s="48">
        <v>500</v>
      </c>
      <c r="D11" s="48">
        <f>B11*C11</f>
        <v>500</v>
      </c>
      <c r="E11" s="50">
        <f t="shared" si="0"/>
        <v>7.4074074074074074</v>
      </c>
      <c r="F11" s="51">
        <v>45292</v>
      </c>
      <c r="O11" t="s">
        <v>127</v>
      </c>
    </row>
    <row r="12" spans="1:15" x14ac:dyDescent="0.2">
      <c r="A12" s="52" t="s">
        <v>128</v>
      </c>
      <c r="B12" s="52">
        <v>1</v>
      </c>
      <c r="C12" s="48">
        <v>550</v>
      </c>
      <c r="D12" s="48">
        <f>B12*C12</f>
        <v>550</v>
      </c>
      <c r="E12" s="50">
        <f t="shared" si="0"/>
        <v>8.1481481481481488</v>
      </c>
      <c r="F12" s="51">
        <v>45293</v>
      </c>
    </row>
    <row r="13" spans="1:15" x14ac:dyDescent="0.2">
      <c r="A13" s="52" t="s">
        <v>129</v>
      </c>
      <c r="B13" s="52">
        <v>1</v>
      </c>
      <c r="C13" s="48">
        <v>1500</v>
      </c>
      <c r="D13" s="48">
        <f>B13*C13</f>
        <v>1500</v>
      </c>
      <c r="E13" s="50">
        <f t="shared" si="0"/>
        <v>22.222222222222221</v>
      </c>
      <c r="F13" s="51">
        <v>45297</v>
      </c>
    </row>
    <row r="14" spans="1:15" x14ac:dyDescent="0.2">
      <c r="A14" s="52" t="s">
        <v>130</v>
      </c>
      <c r="B14" s="52">
        <v>100</v>
      </c>
      <c r="C14" s="48">
        <v>540</v>
      </c>
      <c r="D14" s="48">
        <f>C14*B14</f>
        <v>54000</v>
      </c>
      <c r="E14" s="50">
        <f t="shared" si="0"/>
        <v>800</v>
      </c>
      <c r="F14" s="51">
        <v>45302</v>
      </c>
    </row>
    <row r="15" spans="1:15" x14ac:dyDescent="0.2">
      <c r="A15" s="52" t="s">
        <v>131</v>
      </c>
      <c r="B15" s="52">
        <v>100</v>
      </c>
      <c r="C15" s="48">
        <v>150</v>
      </c>
      <c r="D15" s="48">
        <f>C15*B15</f>
        <v>15000</v>
      </c>
      <c r="E15" s="50">
        <f t="shared" si="0"/>
        <v>222.22222222222223</v>
      </c>
      <c r="F15" s="51">
        <v>45302</v>
      </c>
    </row>
    <row r="16" spans="1:15" x14ac:dyDescent="0.2">
      <c r="A16" s="52" t="s">
        <v>132</v>
      </c>
      <c r="B16" s="52">
        <v>100</v>
      </c>
      <c r="C16" s="48">
        <v>405</v>
      </c>
      <c r="D16" s="48">
        <f>C16*B16</f>
        <v>40500</v>
      </c>
      <c r="E16" s="50">
        <f t="shared" si="0"/>
        <v>600</v>
      </c>
      <c r="F16" s="51">
        <v>45302</v>
      </c>
    </row>
    <row r="17" spans="1:6" x14ac:dyDescent="0.2">
      <c r="A17" s="52" t="s">
        <v>73</v>
      </c>
      <c r="B17" s="52">
        <v>1</v>
      </c>
      <c r="C17" s="48">
        <v>2700</v>
      </c>
      <c r="D17" s="48">
        <f>C17*B17</f>
        <v>2700</v>
      </c>
      <c r="E17" s="50">
        <f t="shared" si="0"/>
        <v>40</v>
      </c>
      <c r="F17" s="51">
        <v>45302</v>
      </c>
    </row>
    <row r="18" spans="1:6" x14ac:dyDescent="0.2">
      <c r="A18" s="52" t="s">
        <v>133</v>
      </c>
      <c r="B18" s="52">
        <v>2</v>
      </c>
      <c r="C18" s="48">
        <v>425</v>
      </c>
      <c r="D18" s="48">
        <f>C18*B18</f>
        <v>850</v>
      </c>
      <c r="E18" s="50">
        <f t="shared" si="0"/>
        <v>12.592592592592593</v>
      </c>
      <c r="F18" s="51">
        <v>45302</v>
      </c>
    </row>
    <row r="19" spans="1:6" x14ac:dyDescent="0.2">
      <c r="A19" s="52" t="s">
        <v>126</v>
      </c>
      <c r="B19" s="52">
        <v>1</v>
      </c>
      <c r="C19" s="48">
        <v>3800</v>
      </c>
      <c r="D19" s="48">
        <f>C19*B19</f>
        <v>3800</v>
      </c>
      <c r="E19" s="50">
        <f t="shared" si="0"/>
        <v>56.296296296296298</v>
      </c>
      <c r="F19" s="51">
        <v>45302</v>
      </c>
    </row>
    <row r="20" spans="1:6" x14ac:dyDescent="0.2">
      <c r="A20" s="52" t="s">
        <v>134</v>
      </c>
      <c r="B20" s="52">
        <v>1</v>
      </c>
      <c r="C20" s="48">
        <v>7500</v>
      </c>
      <c r="D20" s="48">
        <f>C20*B20</f>
        <v>7500</v>
      </c>
      <c r="E20" s="50">
        <f t="shared" si="0"/>
        <v>111.11111111111111</v>
      </c>
      <c r="F20" s="51">
        <v>45302</v>
      </c>
    </row>
    <row r="21" spans="1:6" x14ac:dyDescent="0.2">
      <c r="A21" s="52" t="s">
        <v>135</v>
      </c>
      <c r="B21" s="52">
        <v>1</v>
      </c>
      <c r="C21" s="48">
        <v>12000</v>
      </c>
      <c r="D21" s="48">
        <f>C21*B21</f>
        <v>12000</v>
      </c>
      <c r="E21" s="50">
        <f t="shared" si="0"/>
        <v>177.77777777777777</v>
      </c>
      <c r="F21" s="51">
        <v>45302</v>
      </c>
    </row>
    <row r="22" spans="1:6" x14ac:dyDescent="0.2">
      <c r="A22" s="52" t="s">
        <v>136</v>
      </c>
      <c r="B22" s="52">
        <v>1</v>
      </c>
      <c r="C22" s="48">
        <v>100000</v>
      </c>
      <c r="D22" s="48">
        <f>C22*B22</f>
        <v>100000</v>
      </c>
      <c r="E22" s="50">
        <f t="shared" si="0"/>
        <v>1481.4814814814815</v>
      </c>
      <c r="F22" s="51">
        <v>45302</v>
      </c>
    </row>
    <row r="23" spans="1:6" x14ac:dyDescent="0.2">
      <c r="A23" s="52" t="s">
        <v>137</v>
      </c>
      <c r="B23" s="52">
        <v>1</v>
      </c>
      <c r="C23" s="48">
        <v>12000</v>
      </c>
      <c r="D23" s="48">
        <f>C23*B23</f>
        <v>12000</v>
      </c>
      <c r="E23" s="50">
        <f t="shared" si="0"/>
        <v>177.77777777777777</v>
      </c>
      <c r="F23" s="51">
        <v>45302</v>
      </c>
    </row>
    <row r="24" spans="1:6" x14ac:dyDescent="0.2">
      <c r="A24" s="52" t="s">
        <v>138</v>
      </c>
      <c r="B24" s="52">
        <v>1</v>
      </c>
      <c r="C24" s="48">
        <v>84000</v>
      </c>
      <c r="D24" s="48">
        <f>B24*C24</f>
        <v>84000</v>
      </c>
      <c r="E24" s="50">
        <f>D24/67.5</f>
        <v>1244.4444444444443</v>
      </c>
      <c r="F24" s="51">
        <v>45318</v>
      </c>
    </row>
    <row r="25" spans="1:6" x14ac:dyDescent="0.2">
      <c r="A25" s="52" t="s">
        <v>139</v>
      </c>
      <c r="B25" s="52">
        <v>7</v>
      </c>
      <c r="C25" s="48">
        <v>400</v>
      </c>
      <c r="D25" s="48">
        <f>C25*B25</f>
        <v>2800</v>
      </c>
      <c r="E25" s="50">
        <f>D25/67.5</f>
        <v>41.481481481481481</v>
      </c>
      <c r="F25" s="51">
        <v>45320</v>
      </c>
    </row>
    <row r="26" spans="1:6" x14ac:dyDescent="0.2">
      <c r="A26" s="52" t="s">
        <v>140</v>
      </c>
      <c r="B26" s="52">
        <v>1</v>
      </c>
      <c r="C26" s="48">
        <v>150</v>
      </c>
      <c r="D26" s="48">
        <f>C26*B26</f>
        <v>150</v>
      </c>
      <c r="E26" s="50">
        <f>D26/67.5</f>
        <v>2.2222222222222223</v>
      </c>
      <c r="F26" s="51">
        <v>45320</v>
      </c>
    </row>
    <row r="27" spans="1:6" x14ac:dyDescent="0.2">
      <c r="A27" s="52" t="s">
        <v>141</v>
      </c>
      <c r="B27" s="52">
        <v>1</v>
      </c>
      <c r="C27" s="48">
        <v>3000</v>
      </c>
      <c r="D27" s="48">
        <f>C27*B27</f>
        <v>3000</v>
      </c>
      <c r="E27" s="50">
        <f>D27/67.5</f>
        <v>44.444444444444443</v>
      </c>
      <c r="F27" s="51">
        <v>45320</v>
      </c>
    </row>
    <row r="28" spans="1:6" x14ac:dyDescent="0.2">
      <c r="A28" s="52" t="s">
        <v>142</v>
      </c>
      <c r="B28" s="52">
        <v>1</v>
      </c>
      <c r="C28" s="48">
        <v>2300</v>
      </c>
      <c r="D28" s="48">
        <f>C28*B28</f>
        <v>2300</v>
      </c>
      <c r="E28" s="50">
        <f>D28/67.5</f>
        <v>34.074074074074076</v>
      </c>
      <c r="F28" s="51">
        <v>45327</v>
      </c>
    </row>
    <row r="29" spans="1:6" x14ac:dyDescent="0.2">
      <c r="A29" s="52" t="s">
        <v>143</v>
      </c>
      <c r="B29" s="52">
        <v>1</v>
      </c>
      <c r="C29" s="48">
        <v>300</v>
      </c>
      <c r="D29" s="48">
        <f>C29*B29</f>
        <v>300</v>
      </c>
      <c r="E29" s="50">
        <f>D29/67.5</f>
        <v>4.4444444444444446</v>
      </c>
      <c r="F29" s="51">
        <v>45327</v>
      </c>
    </row>
    <row r="30" spans="1:6" x14ac:dyDescent="0.2">
      <c r="A30" s="52" t="s">
        <v>144</v>
      </c>
      <c r="B30" s="52">
        <v>1</v>
      </c>
      <c r="C30" s="48">
        <v>200</v>
      </c>
      <c r="D30" s="48">
        <f>C30*B30</f>
        <v>200</v>
      </c>
      <c r="E30" s="50">
        <f>D30/67.5</f>
        <v>2.9629629629629628</v>
      </c>
      <c r="F30" s="51">
        <v>45327</v>
      </c>
    </row>
    <row r="31" spans="1:6" x14ac:dyDescent="0.2">
      <c r="A31" s="52" t="s">
        <v>145</v>
      </c>
      <c r="B31" s="52">
        <v>2</v>
      </c>
      <c r="C31" s="48">
        <v>125</v>
      </c>
      <c r="D31" s="48">
        <f>C31*B31</f>
        <v>250</v>
      </c>
      <c r="E31" s="50">
        <f>D31/67.5</f>
        <v>3.7037037037037037</v>
      </c>
      <c r="F31" s="51">
        <v>45327</v>
      </c>
    </row>
    <row r="32" spans="1:6" x14ac:dyDescent="0.2">
      <c r="A32" s="52" t="s">
        <v>146</v>
      </c>
      <c r="B32" s="52">
        <v>1</v>
      </c>
      <c r="C32" s="48">
        <v>275</v>
      </c>
      <c r="D32" s="48">
        <f>C32*B32</f>
        <v>275</v>
      </c>
      <c r="E32" s="50">
        <f>D32/67.5</f>
        <v>4.0740740740740744</v>
      </c>
      <c r="F32" s="51">
        <v>45327</v>
      </c>
    </row>
    <row r="33" spans="1:9" x14ac:dyDescent="0.2">
      <c r="A33" s="52" t="s">
        <v>147</v>
      </c>
      <c r="B33" s="52">
        <v>1</v>
      </c>
      <c r="C33" s="48">
        <v>300</v>
      </c>
      <c r="D33" s="48">
        <f>C33*B33</f>
        <v>300</v>
      </c>
      <c r="E33" s="50">
        <f>D33/67.5</f>
        <v>4.4444444444444446</v>
      </c>
      <c r="F33" s="51">
        <v>45327</v>
      </c>
    </row>
    <row r="34" spans="1:9" x14ac:dyDescent="0.2">
      <c r="A34" s="52" t="s">
        <v>148</v>
      </c>
      <c r="B34" s="52">
        <v>1</v>
      </c>
      <c r="C34" s="48">
        <v>60</v>
      </c>
      <c r="D34" s="48">
        <f>C34*B34</f>
        <v>60</v>
      </c>
      <c r="E34" s="50">
        <f>D34/67.5</f>
        <v>0.88888888888888884</v>
      </c>
      <c r="F34" s="51">
        <v>45327</v>
      </c>
    </row>
    <row r="35" spans="1:9" x14ac:dyDescent="0.2">
      <c r="A35" s="52" t="s">
        <v>149</v>
      </c>
      <c r="B35" s="52">
        <v>1</v>
      </c>
      <c r="C35" s="48">
        <v>90</v>
      </c>
      <c r="D35" s="48">
        <f>C35*B35</f>
        <v>90</v>
      </c>
      <c r="E35" s="50">
        <f>D35/67.5</f>
        <v>1.3333333333333333</v>
      </c>
      <c r="F35" s="51">
        <v>45327</v>
      </c>
    </row>
    <row r="36" spans="1:9" x14ac:dyDescent="0.2">
      <c r="A36" s="52" t="s">
        <v>150</v>
      </c>
      <c r="B36" s="52">
        <v>1</v>
      </c>
      <c r="C36" s="48">
        <v>200</v>
      </c>
      <c r="D36" s="48">
        <f>C36*B36</f>
        <v>200</v>
      </c>
      <c r="E36" s="50">
        <f>D36/67.5</f>
        <v>2.9629629629629628</v>
      </c>
      <c r="F36" s="51">
        <v>45327</v>
      </c>
    </row>
    <row r="37" spans="1:9" x14ac:dyDescent="0.2">
      <c r="A37" s="52" t="s">
        <v>151</v>
      </c>
      <c r="B37" s="52">
        <v>1</v>
      </c>
      <c r="C37" s="48">
        <v>800</v>
      </c>
      <c r="D37" s="48">
        <f>C37*B37</f>
        <v>800</v>
      </c>
      <c r="E37" s="50">
        <f>D37/67.5</f>
        <v>11.851851851851851</v>
      </c>
      <c r="F37" s="51">
        <v>45335</v>
      </c>
    </row>
    <row r="38" spans="1:9" x14ac:dyDescent="0.2">
      <c r="A38" s="52" t="s">
        <v>152</v>
      </c>
      <c r="B38" s="52">
        <v>1</v>
      </c>
      <c r="C38" s="48">
        <v>125</v>
      </c>
      <c r="D38" s="48">
        <f>C38*B38</f>
        <v>125</v>
      </c>
      <c r="E38" s="50">
        <f>D38/67.5</f>
        <v>1.8518518518518519</v>
      </c>
      <c r="F38" s="51">
        <v>45335</v>
      </c>
    </row>
    <row r="39" spans="1:9" x14ac:dyDescent="0.2">
      <c r="A39" s="52" t="s">
        <v>153</v>
      </c>
      <c r="B39" s="52">
        <v>1</v>
      </c>
      <c r="C39" s="48">
        <v>200</v>
      </c>
      <c r="D39" s="48">
        <f>C39*B39</f>
        <v>200</v>
      </c>
      <c r="E39" s="50">
        <f>D39/67.5</f>
        <v>2.9629629629629628</v>
      </c>
      <c r="F39" s="51">
        <v>45335</v>
      </c>
      <c r="H39" s="269">
        <f>SUM(D28+D29+D30+D31+D32+D33+D34+D35+D36)</f>
        <v>3975</v>
      </c>
      <c r="I39" s="136">
        <v>45327</v>
      </c>
    </row>
    <row r="40" spans="1:9" x14ac:dyDescent="0.2">
      <c r="A40" s="52" t="s">
        <v>154</v>
      </c>
      <c r="B40" s="52">
        <v>1</v>
      </c>
      <c r="C40" s="48">
        <v>350</v>
      </c>
      <c r="D40" s="48">
        <f>C40/B40</f>
        <v>350</v>
      </c>
      <c r="E40" s="50">
        <f>D40/67.5</f>
        <v>5.1851851851851851</v>
      </c>
      <c r="F40" s="51">
        <v>45335</v>
      </c>
    </row>
    <row r="41" spans="1:9" x14ac:dyDescent="0.2">
      <c r="A41" s="52" t="s">
        <v>155</v>
      </c>
      <c r="B41" s="52">
        <v>1</v>
      </c>
      <c r="C41" s="48">
        <v>600</v>
      </c>
      <c r="D41" s="48">
        <f>C41*B41</f>
        <v>600</v>
      </c>
      <c r="E41" s="50">
        <f>D41/67.5</f>
        <v>8.8888888888888893</v>
      </c>
      <c r="F41" s="51">
        <v>45336</v>
      </c>
      <c r="H41" s="270">
        <f>SUM(D37+D38+D39+D40)</f>
        <v>1475</v>
      </c>
      <c r="I41" s="138">
        <v>45335</v>
      </c>
    </row>
    <row r="42" spans="1:9" x14ac:dyDescent="0.2">
      <c r="A42" s="52" t="s">
        <v>156</v>
      </c>
      <c r="B42" s="52">
        <v>8</v>
      </c>
      <c r="C42" s="48">
        <v>650</v>
      </c>
      <c r="D42" s="48">
        <f>C42*B42</f>
        <v>5200</v>
      </c>
      <c r="E42" s="50">
        <f>D42/67.5</f>
        <v>77.037037037037038</v>
      </c>
      <c r="F42" s="51">
        <v>45342</v>
      </c>
    </row>
    <row r="43" spans="1:9" x14ac:dyDescent="0.2">
      <c r="A43" s="52" t="s">
        <v>157</v>
      </c>
      <c r="B43" s="52">
        <v>1</v>
      </c>
      <c r="C43" s="48">
        <v>700</v>
      </c>
      <c r="D43" s="48">
        <f>C43*B43</f>
        <v>700</v>
      </c>
      <c r="E43" s="50">
        <f>D43/67.5</f>
        <v>10.37037037037037</v>
      </c>
      <c r="F43" s="51">
        <v>45342</v>
      </c>
    </row>
    <row r="44" spans="1:9" x14ac:dyDescent="0.2">
      <c r="A44" s="52" t="s">
        <v>158</v>
      </c>
      <c r="B44" s="52">
        <v>1</v>
      </c>
      <c r="C44" s="48">
        <v>11000</v>
      </c>
      <c r="D44" s="48">
        <f>C44*B44</f>
        <v>11000</v>
      </c>
      <c r="E44" s="50">
        <f>D44/67.5</f>
        <v>162.96296296296296</v>
      </c>
      <c r="F44" s="51">
        <v>45342</v>
      </c>
    </row>
    <row r="45" spans="1:9" x14ac:dyDescent="0.2">
      <c r="A45" s="52" t="s">
        <v>159</v>
      </c>
      <c r="B45" s="52">
        <v>1</v>
      </c>
      <c r="C45" s="48">
        <v>600</v>
      </c>
      <c r="D45" s="48">
        <f>C45*B45</f>
        <v>600</v>
      </c>
      <c r="E45" s="50">
        <f>D45/67.5</f>
        <v>8.8888888888888893</v>
      </c>
      <c r="F45" s="51">
        <v>45342</v>
      </c>
    </row>
    <row r="46" spans="1:9" x14ac:dyDescent="0.2">
      <c r="A46" s="52" t="s">
        <v>160</v>
      </c>
      <c r="B46" s="52">
        <v>1</v>
      </c>
      <c r="C46" s="48">
        <v>400</v>
      </c>
      <c r="D46" s="48">
        <f>C46*B46</f>
        <v>400</v>
      </c>
      <c r="E46" s="50">
        <f>D46/67.5</f>
        <v>5.9259259259259256</v>
      </c>
      <c r="F46" s="51">
        <v>45342</v>
      </c>
    </row>
    <row r="47" spans="1:9" x14ac:dyDescent="0.2">
      <c r="A47" s="52" t="s">
        <v>161</v>
      </c>
      <c r="B47" s="52">
        <v>1</v>
      </c>
      <c r="C47" s="48">
        <v>500</v>
      </c>
      <c r="D47" s="48">
        <f>C47*B47</f>
        <v>500</v>
      </c>
      <c r="E47" s="50">
        <f>D47/67.5</f>
        <v>7.4074074074074074</v>
      </c>
      <c r="F47" s="51">
        <v>45342</v>
      </c>
    </row>
    <row r="48" spans="1:9" x14ac:dyDescent="0.2">
      <c r="A48" s="52" t="s">
        <v>162</v>
      </c>
      <c r="B48" s="52">
        <v>1</v>
      </c>
      <c r="C48" s="48">
        <v>2000</v>
      </c>
      <c r="D48" s="48">
        <f>C48*B48</f>
        <v>2000</v>
      </c>
      <c r="E48" s="50">
        <f>D48/67.5</f>
        <v>29.62962962962963</v>
      </c>
      <c r="F48" s="51">
        <v>45346</v>
      </c>
    </row>
    <row r="49" spans="1:6" x14ac:dyDescent="0.2">
      <c r="A49" s="52" t="s">
        <v>134</v>
      </c>
      <c r="B49" s="52">
        <v>1</v>
      </c>
      <c r="C49" s="48">
        <v>7500</v>
      </c>
      <c r="D49" s="48">
        <f>C49*B49</f>
        <v>7500</v>
      </c>
      <c r="E49" s="50">
        <f>D49/67.5</f>
        <v>111.11111111111111</v>
      </c>
      <c r="F49" s="51">
        <v>45352</v>
      </c>
    </row>
    <row r="50" spans="1:6" x14ac:dyDescent="0.2">
      <c r="A50" s="52" t="s">
        <v>29</v>
      </c>
      <c r="B50" s="52">
        <v>100</v>
      </c>
      <c r="C50" s="48">
        <v>395</v>
      </c>
      <c r="D50" s="48">
        <f>C50*B50</f>
        <v>39500</v>
      </c>
      <c r="E50" s="50">
        <f>D50/67.5</f>
        <v>585.18518518518522</v>
      </c>
      <c r="F50" s="51">
        <v>45356</v>
      </c>
    </row>
    <row r="51" spans="1:6" x14ac:dyDescent="0.2">
      <c r="A51" s="52" t="s">
        <v>30</v>
      </c>
      <c r="B51" s="52">
        <v>1</v>
      </c>
      <c r="C51" s="48">
        <v>2000</v>
      </c>
      <c r="D51" s="48">
        <f>C51*B51</f>
        <v>2000</v>
      </c>
      <c r="E51" s="50">
        <f>D51/67.5</f>
        <v>29.62962962962963</v>
      </c>
      <c r="F51" s="51">
        <v>45356</v>
      </c>
    </row>
    <row r="52" spans="1:6" x14ac:dyDescent="0.2">
      <c r="A52" s="52" t="s">
        <v>163</v>
      </c>
      <c r="B52" s="52">
        <v>60</v>
      </c>
      <c r="C52" s="48">
        <v>100</v>
      </c>
      <c r="D52" s="48">
        <f>C52*B52</f>
        <v>6000</v>
      </c>
      <c r="E52" s="50">
        <f>D52/67.5</f>
        <v>88.888888888888886</v>
      </c>
      <c r="F52" s="51">
        <v>45356</v>
      </c>
    </row>
    <row r="53" spans="1:6" x14ac:dyDescent="0.2">
      <c r="A53" s="52" t="s">
        <v>164</v>
      </c>
      <c r="B53" s="52">
        <v>10</v>
      </c>
      <c r="C53" s="48">
        <v>1550</v>
      </c>
      <c r="D53" s="48">
        <f>C53*B53</f>
        <v>15500</v>
      </c>
      <c r="E53" s="50">
        <f>D53/67.5</f>
        <v>229.62962962962962</v>
      </c>
      <c r="F53" s="51">
        <v>45721</v>
      </c>
    </row>
    <row r="54" spans="1:6" x14ac:dyDescent="0.2">
      <c r="A54" s="52" t="s">
        <v>165</v>
      </c>
      <c r="B54" s="52">
        <v>10</v>
      </c>
      <c r="C54" s="48">
        <v>75</v>
      </c>
      <c r="D54" s="48">
        <f>C54*B54</f>
        <v>750</v>
      </c>
      <c r="E54" s="50">
        <f>D54/67.5</f>
        <v>11.111111111111111</v>
      </c>
      <c r="F54" s="51">
        <v>45356</v>
      </c>
    </row>
    <row r="55" spans="1:6" x14ac:dyDescent="0.2">
      <c r="A55" s="52" t="s">
        <v>166</v>
      </c>
      <c r="B55" s="52">
        <v>1</v>
      </c>
      <c r="C55" s="48">
        <v>700</v>
      </c>
      <c r="D55" s="48">
        <f>C55*B55</f>
        <v>700</v>
      </c>
      <c r="E55" s="50">
        <f>D55/67.5</f>
        <v>10.37037037037037</v>
      </c>
      <c r="F55" s="51">
        <v>45356</v>
      </c>
    </row>
    <row r="56" spans="1:6" x14ac:dyDescent="0.2">
      <c r="A56" s="52" t="s">
        <v>167</v>
      </c>
      <c r="B56" s="52">
        <v>1</v>
      </c>
      <c r="C56" s="48">
        <v>4000</v>
      </c>
      <c r="D56" s="48">
        <f>C56*B56</f>
        <v>4000</v>
      </c>
      <c r="E56" s="50">
        <f>D56/67.5</f>
        <v>59.25925925925926</v>
      </c>
      <c r="F56" s="51">
        <v>45356</v>
      </c>
    </row>
    <row r="57" spans="1:6" x14ac:dyDescent="0.2">
      <c r="A57" s="52" t="s">
        <v>168</v>
      </c>
      <c r="B57" s="52">
        <v>9</v>
      </c>
      <c r="C57" s="48">
        <v>100</v>
      </c>
      <c r="D57" s="48">
        <f>C57*B57</f>
        <v>900</v>
      </c>
      <c r="E57" s="50">
        <f>D57/67.5</f>
        <v>13.333333333333334</v>
      </c>
      <c r="F57" s="51">
        <v>45356</v>
      </c>
    </row>
    <row r="58" spans="1:6" x14ac:dyDescent="0.2">
      <c r="A58" s="52" t="s">
        <v>133</v>
      </c>
      <c r="B58" s="52">
        <v>2</v>
      </c>
      <c r="C58" s="48">
        <v>475</v>
      </c>
      <c r="D58" s="48">
        <f>C58*B58</f>
        <v>950</v>
      </c>
      <c r="E58" s="50">
        <f>D58/67.5</f>
        <v>14.074074074074074</v>
      </c>
      <c r="F58" s="51">
        <v>45363</v>
      </c>
    </row>
    <row r="59" spans="1:6" x14ac:dyDescent="0.2">
      <c r="A59" s="52" t="s">
        <v>169</v>
      </c>
      <c r="B59" s="52">
        <v>100</v>
      </c>
      <c r="C59" s="48">
        <v>340</v>
      </c>
      <c r="D59" s="48">
        <f>C59*B59</f>
        <v>34000</v>
      </c>
      <c r="E59" s="50">
        <f>D59/68</f>
        <v>500</v>
      </c>
      <c r="F59" s="51">
        <v>45363</v>
      </c>
    </row>
    <row r="60" spans="1:6" x14ac:dyDescent="0.2">
      <c r="A60" s="52" t="s">
        <v>170</v>
      </c>
      <c r="B60" s="52">
        <v>1</v>
      </c>
      <c r="C60" s="48">
        <v>800</v>
      </c>
      <c r="D60" s="48">
        <f>C60*B60</f>
        <v>800</v>
      </c>
      <c r="E60" s="50">
        <f>D60/67.5</f>
        <v>11.851851851851851</v>
      </c>
      <c r="F60" s="51">
        <v>45363</v>
      </c>
    </row>
    <row r="61" spans="1:6" x14ac:dyDescent="0.2">
      <c r="A61" s="52" t="s">
        <v>171</v>
      </c>
      <c r="B61" s="52">
        <v>1</v>
      </c>
      <c r="C61" s="48">
        <v>400</v>
      </c>
      <c r="D61" s="48">
        <f>C61*B61</f>
        <v>400</v>
      </c>
      <c r="E61" s="50">
        <f>D61/67.5</f>
        <v>5.9259259259259256</v>
      </c>
      <c r="F61" s="51">
        <v>45363</v>
      </c>
    </row>
    <row r="62" spans="1:6" x14ac:dyDescent="0.2">
      <c r="A62" s="52" t="s">
        <v>131</v>
      </c>
      <c r="B62" s="52">
        <v>25</v>
      </c>
      <c r="C62" s="48">
        <v>150</v>
      </c>
      <c r="D62" s="48">
        <f>C62*B62</f>
        <v>3750</v>
      </c>
      <c r="E62" s="50">
        <f>D62/67.5</f>
        <v>55.555555555555557</v>
      </c>
      <c r="F62" s="51">
        <v>45364</v>
      </c>
    </row>
    <row r="63" spans="1:6" x14ac:dyDescent="0.2">
      <c r="A63" s="52" t="s">
        <v>172</v>
      </c>
      <c r="B63" s="52">
        <v>1</v>
      </c>
      <c r="C63" s="48">
        <v>400</v>
      </c>
      <c r="D63" s="48">
        <f>C63*B63</f>
        <v>400</v>
      </c>
      <c r="E63" s="50">
        <f>D63/67.5</f>
        <v>5.9259259259259256</v>
      </c>
      <c r="F63" s="51">
        <v>45364</v>
      </c>
    </row>
    <row r="64" spans="1:6" x14ac:dyDescent="0.2">
      <c r="A64" s="52" t="s">
        <v>173</v>
      </c>
      <c r="B64" s="52">
        <v>1</v>
      </c>
      <c r="C64" s="48">
        <v>500</v>
      </c>
      <c r="D64" s="48">
        <f>C64*B64</f>
        <v>500</v>
      </c>
      <c r="E64" s="50"/>
      <c r="F64" s="51" t="s">
        <v>174</v>
      </c>
    </row>
    <row r="65" spans="1:9" x14ac:dyDescent="0.2">
      <c r="A65" s="52" t="s">
        <v>134</v>
      </c>
      <c r="B65" s="52">
        <v>1</v>
      </c>
      <c r="C65" s="48">
        <v>7500</v>
      </c>
      <c r="D65" s="48">
        <f>C65*B65</f>
        <v>7500</v>
      </c>
      <c r="E65" s="50">
        <f>D65/68</f>
        <v>110.29411764705883</v>
      </c>
      <c r="F65" s="51">
        <v>45374</v>
      </c>
    </row>
    <row r="66" spans="1:9" x14ac:dyDescent="0.2">
      <c r="A66" s="52" t="s">
        <v>175</v>
      </c>
      <c r="B66" s="52">
        <v>1</v>
      </c>
      <c r="C66" s="48">
        <v>2000</v>
      </c>
      <c r="D66" s="48">
        <f>C66*B66</f>
        <v>2000</v>
      </c>
      <c r="E66" s="50">
        <f>D66/68</f>
        <v>29.411764705882351</v>
      </c>
      <c r="F66" s="51">
        <v>45375</v>
      </c>
    </row>
    <row r="67" spans="1:9" x14ac:dyDescent="0.2">
      <c r="A67" s="52" t="s">
        <v>132</v>
      </c>
      <c r="B67" s="52">
        <v>50</v>
      </c>
      <c r="C67" s="48">
        <v>390</v>
      </c>
      <c r="D67" s="48">
        <f>C67*B67</f>
        <v>19500</v>
      </c>
      <c r="E67" s="50">
        <f>D67/67.5</f>
        <v>288.88888888888891</v>
      </c>
      <c r="F67" s="51">
        <v>45376</v>
      </c>
    </row>
    <row r="68" spans="1:9" x14ac:dyDescent="0.2">
      <c r="A68" s="52" t="s">
        <v>30</v>
      </c>
      <c r="B68" s="52">
        <v>50</v>
      </c>
      <c r="C68" s="48">
        <v>20</v>
      </c>
      <c r="D68" s="48">
        <f>C68*B68</f>
        <v>1000</v>
      </c>
      <c r="E68" s="50">
        <f>D68/67.5</f>
        <v>14.814814814814815</v>
      </c>
      <c r="F68" s="51">
        <v>45376</v>
      </c>
    </row>
    <row r="69" spans="1:9" x14ac:dyDescent="0.2">
      <c r="A69" s="52" t="s">
        <v>160</v>
      </c>
      <c r="B69" s="52">
        <v>1</v>
      </c>
      <c r="C69" s="48">
        <v>300</v>
      </c>
      <c r="D69" s="48">
        <f>C69*B69</f>
        <v>300</v>
      </c>
      <c r="E69" s="50"/>
      <c r="F69" s="51">
        <v>45378</v>
      </c>
    </row>
    <row r="70" spans="1:9" x14ac:dyDescent="0.2">
      <c r="A70" s="52" t="s">
        <v>130</v>
      </c>
      <c r="B70" s="52">
        <v>90</v>
      </c>
      <c r="C70" s="48">
        <v>510</v>
      </c>
      <c r="D70" s="48">
        <f>C70*B70</f>
        <v>45900</v>
      </c>
      <c r="E70" s="50"/>
      <c r="F70" s="51">
        <v>45380</v>
      </c>
    </row>
    <row r="71" spans="1:9" x14ac:dyDescent="0.2">
      <c r="A71" s="52" t="s">
        <v>176</v>
      </c>
      <c r="B71" s="52">
        <v>100</v>
      </c>
      <c r="C71" s="48">
        <v>325</v>
      </c>
      <c r="D71" s="48">
        <f>C71*B71</f>
        <v>32500</v>
      </c>
      <c r="E71" s="50"/>
      <c r="F71" s="51">
        <v>45380</v>
      </c>
      <c r="H71" s="268" t="s">
        <v>450</v>
      </c>
      <c r="I71" t="e">
        <f>VLOOKUP(H71,A7:F358,2,FALSE())</f>
        <v>#N/A</v>
      </c>
    </row>
    <row r="72" spans="1:9" x14ac:dyDescent="0.2">
      <c r="A72" s="52" t="s">
        <v>177</v>
      </c>
      <c r="B72" s="52">
        <v>85</v>
      </c>
      <c r="C72" s="48">
        <v>135</v>
      </c>
      <c r="D72" s="48">
        <f>C72*B72-75</f>
        <v>11400</v>
      </c>
      <c r="E72" s="50"/>
      <c r="F72" s="51">
        <v>45380</v>
      </c>
    </row>
    <row r="73" spans="1:9" x14ac:dyDescent="0.2">
      <c r="A73" s="52" t="s">
        <v>133</v>
      </c>
      <c r="B73" s="52">
        <v>3</v>
      </c>
      <c r="C73" s="48">
        <v>400</v>
      </c>
      <c r="D73" s="48">
        <f>C73*B73</f>
        <v>1200</v>
      </c>
      <c r="E73" s="50"/>
      <c r="F73" s="51">
        <v>45380</v>
      </c>
    </row>
    <row r="74" spans="1:9" x14ac:dyDescent="0.2">
      <c r="A74" s="52" t="s">
        <v>178</v>
      </c>
      <c r="B74" s="52">
        <v>1</v>
      </c>
      <c r="C74" s="48">
        <v>2000</v>
      </c>
      <c r="D74" s="48">
        <f>C74*B74</f>
        <v>2000</v>
      </c>
      <c r="E74" s="50"/>
      <c r="F74" s="51">
        <v>45380</v>
      </c>
      <c r="G74" s="267"/>
    </row>
    <row r="75" spans="1:9" x14ac:dyDescent="0.2">
      <c r="A75" s="52" t="s">
        <v>179</v>
      </c>
      <c r="B75" s="52">
        <v>20</v>
      </c>
      <c r="C75" s="48">
        <v>200</v>
      </c>
      <c r="D75" s="48">
        <f>C75*B75</f>
        <v>4000</v>
      </c>
      <c r="E75" s="50"/>
      <c r="F75" s="51">
        <v>45380</v>
      </c>
    </row>
    <row r="76" spans="1:9" x14ac:dyDescent="0.2">
      <c r="A76" s="52" t="s">
        <v>180</v>
      </c>
      <c r="B76" s="52">
        <v>1</v>
      </c>
      <c r="C76" s="48">
        <v>650</v>
      </c>
      <c r="D76" s="48">
        <f>C76*B76</f>
        <v>650</v>
      </c>
      <c r="E76" s="50"/>
      <c r="F76" s="51">
        <v>45380</v>
      </c>
    </row>
    <row r="77" spans="1:9" x14ac:dyDescent="0.2">
      <c r="A77" s="52" t="s">
        <v>134</v>
      </c>
      <c r="B77" s="52">
        <v>1</v>
      </c>
      <c r="C77" s="48">
        <v>7500</v>
      </c>
      <c r="D77" s="48">
        <f>C77*B77</f>
        <v>7500</v>
      </c>
      <c r="E77" s="50"/>
      <c r="F77" s="51">
        <v>45380</v>
      </c>
    </row>
    <row r="78" spans="1:9" x14ac:dyDescent="0.2">
      <c r="A78" s="52" t="s">
        <v>181</v>
      </c>
      <c r="B78" s="52">
        <v>1</v>
      </c>
      <c r="C78" s="48">
        <v>4000</v>
      </c>
      <c r="D78" s="48">
        <f>C78*B78</f>
        <v>4000</v>
      </c>
      <c r="E78" s="50"/>
      <c r="F78" s="51">
        <v>45386</v>
      </c>
    </row>
    <row r="79" spans="1:9" x14ac:dyDescent="0.2">
      <c r="A79" s="52" t="s">
        <v>182</v>
      </c>
      <c r="B79" s="52">
        <v>5</v>
      </c>
      <c r="C79" s="48">
        <v>100</v>
      </c>
      <c r="D79" s="48">
        <f>C79*B79</f>
        <v>500</v>
      </c>
      <c r="E79" s="50"/>
      <c r="F79" s="51">
        <v>45386</v>
      </c>
    </row>
    <row r="80" spans="1:9" x14ac:dyDescent="0.2">
      <c r="A80" s="52" t="s">
        <v>183</v>
      </c>
      <c r="B80" s="52">
        <v>5</v>
      </c>
      <c r="C80" s="48">
        <v>100</v>
      </c>
      <c r="D80" s="48">
        <f>C80*B80</f>
        <v>500</v>
      </c>
      <c r="E80" s="50"/>
      <c r="F80" s="51">
        <v>45386</v>
      </c>
    </row>
    <row r="81" spans="1:6" x14ac:dyDescent="0.2">
      <c r="A81" s="52" t="s">
        <v>184</v>
      </c>
      <c r="B81" s="52">
        <v>10</v>
      </c>
      <c r="C81" s="48">
        <v>300</v>
      </c>
      <c r="D81" s="48">
        <f>C81*B81</f>
        <v>3000</v>
      </c>
      <c r="E81" s="50"/>
      <c r="F81" s="51">
        <v>45389</v>
      </c>
    </row>
    <row r="82" spans="1:6" x14ac:dyDescent="0.2">
      <c r="A82" s="52" t="s">
        <v>185</v>
      </c>
      <c r="B82" s="52">
        <v>1</v>
      </c>
      <c r="C82" s="48">
        <v>500</v>
      </c>
      <c r="D82" s="48">
        <f>C82*B82</f>
        <v>500</v>
      </c>
      <c r="E82" s="50"/>
      <c r="F82" s="51">
        <v>45389</v>
      </c>
    </row>
    <row r="83" spans="1:6" x14ac:dyDescent="0.2">
      <c r="A83" s="52" t="s">
        <v>186</v>
      </c>
      <c r="B83" s="52">
        <v>2</v>
      </c>
      <c r="C83" s="48">
        <v>1000</v>
      </c>
      <c r="D83" s="48">
        <f>C83*B83</f>
        <v>2000</v>
      </c>
      <c r="E83" s="50"/>
      <c r="F83" s="51">
        <v>45390</v>
      </c>
    </row>
    <row r="84" spans="1:6" x14ac:dyDescent="0.2">
      <c r="A84" s="52" t="s">
        <v>187</v>
      </c>
      <c r="B84" s="52">
        <v>1</v>
      </c>
      <c r="C84" s="48">
        <v>4000</v>
      </c>
      <c r="D84" s="48">
        <f>C84*B84</f>
        <v>4000</v>
      </c>
      <c r="E84" s="50"/>
      <c r="F84" s="51">
        <v>45401</v>
      </c>
    </row>
    <row r="85" spans="1:6" x14ac:dyDescent="0.2">
      <c r="A85" s="52" t="s">
        <v>188</v>
      </c>
      <c r="B85" s="52">
        <v>1</v>
      </c>
      <c r="C85" s="48">
        <v>350</v>
      </c>
      <c r="D85" s="48">
        <f>C85*B85</f>
        <v>350</v>
      </c>
      <c r="E85" s="50"/>
      <c r="F85" s="51">
        <v>45405</v>
      </c>
    </row>
    <row r="86" spans="1:6" x14ac:dyDescent="0.2">
      <c r="A86" s="52" t="s">
        <v>189</v>
      </c>
      <c r="B86" s="52">
        <v>2</v>
      </c>
      <c r="C86" s="48">
        <v>350</v>
      </c>
      <c r="D86" s="48">
        <f>C86*B86</f>
        <v>700</v>
      </c>
      <c r="E86" s="50"/>
      <c r="F86" s="51">
        <v>45405</v>
      </c>
    </row>
    <row r="87" spans="1:6" x14ac:dyDescent="0.2">
      <c r="A87" s="52" t="s">
        <v>190</v>
      </c>
      <c r="B87" s="52">
        <v>4</v>
      </c>
      <c r="C87" s="48">
        <v>400</v>
      </c>
      <c r="D87" s="48">
        <f>C87*B87</f>
        <v>1600</v>
      </c>
      <c r="E87" s="50"/>
      <c r="F87" s="51">
        <v>45405</v>
      </c>
    </row>
    <row r="88" spans="1:6" x14ac:dyDescent="0.2">
      <c r="A88" s="52" t="s">
        <v>191</v>
      </c>
      <c r="B88" s="52">
        <v>3</v>
      </c>
      <c r="C88" s="48">
        <v>500</v>
      </c>
      <c r="D88" s="48">
        <f>C88*B88</f>
        <v>1500</v>
      </c>
      <c r="E88" s="50"/>
      <c r="F88" s="51">
        <v>45405</v>
      </c>
    </row>
    <row r="89" spans="1:6" x14ac:dyDescent="0.2">
      <c r="A89" s="52" t="s">
        <v>132</v>
      </c>
      <c r="B89" s="52">
        <v>50</v>
      </c>
      <c r="C89" s="48">
        <v>390</v>
      </c>
      <c r="D89" s="48">
        <f>C89*B89</f>
        <v>19500</v>
      </c>
      <c r="E89" s="50"/>
      <c r="F89" s="51">
        <v>45405</v>
      </c>
    </row>
    <row r="90" spans="1:6" x14ac:dyDescent="0.2">
      <c r="A90" s="52" t="s">
        <v>30</v>
      </c>
      <c r="B90" s="52">
        <v>50</v>
      </c>
      <c r="C90" s="48">
        <v>20</v>
      </c>
      <c r="D90" s="48">
        <f>C90*B90</f>
        <v>1000</v>
      </c>
      <c r="E90" s="50"/>
      <c r="F90" s="51">
        <v>45405</v>
      </c>
    </row>
    <row r="91" spans="1:6" x14ac:dyDescent="0.2">
      <c r="A91" s="52" t="s">
        <v>192</v>
      </c>
      <c r="B91" s="52">
        <v>1</v>
      </c>
      <c r="C91" s="48">
        <v>350</v>
      </c>
      <c r="D91" s="48">
        <f>C91*B91</f>
        <v>350</v>
      </c>
      <c r="E91" s="50"/>
      <c r="F91" s="51">
        <v>45405</v>
      </c>
    </row>
    <row r="92" spans="1:6" x14ac:dyDescent="0.2">
      <c r="A92" s="52" t="s">
        <v>193</v>
      </c>
      <c r="B92" s="52">
        <v>1</v>
      </c>
      <c r="C92" s="48">
        <v>150</v>
      </c>
      <c r="D92" s="48">
        <f>C92*B92</f>
        <v>150</v>
      </c>
      <c r="E92" s="50"/>
      <c r="F92" s="51">
        <v>45405</v>
      </c>
    </row>
    <row r="93" spans="1:6" x14ac:dyDescent="0.2">
      <c r="A93" s="52" t="s">
        <v>194</v>
      </c>
      <c r="B93" s="52">
        <v>1</v>
      </c>
      <c r="C93" s="48">
        <v>100</v>
      </c>
      <c r="D93" s="48">
        <f>C93*B93</f>
        <v>100</v>
      </c>
      <c r="E93" s="50"/>
      <c r="F93" s="51">
        <v>45405</v>
      </c>
    </row>
    <row r="94" spans="1:6" x14ac:dyDescent="0.2">
      <c r="A94" s="52" t="s">
        <v>134</v>
      </c>
      <c r="B94" s="52">
        <v>1</v>
      </c>
      <c r="C94" s="48">
        <v>7500</v>
      </c>
      <c r="D94" s="48">
        <f>C94*B94</f>
        <v>7500</v>
      </c>
      <c r="E94" s="50"/>
      <c r="F94" s="51">
        <v>45408</v>
      </c>
    </row>
    <row r="95" spans="1:6" x14ac:dyDescent="0.2">
      <c r="A95" s="52" t="s">
        <v>160</v>
      </c>
      <c r="B95" s="52">
        <v>1</v>
      </c>
      <c r="C95" s="48">
        <v>375</v>
      </c>
      <c r="D95" s="48">
        <f>C95*B95</f>
        <v>375</v>
      </c>
      <c r="E95" s="50"/>
      <c r="F95" s="51">
        <v>45411</v>
      </c>
    </row>
    <row r="96" spans="1:6" x14ac:dyDescent="0.2">
      <c r="A96" s="52" t="s">
        <v>195</v>
      </c>
      <c r="B96" s="52">
        <v>1</v>
      </c>
      <c r="C96" s="48">
        <v>700</v>
      </c>
      <c r="D96" s="48">
        <f>C96*B96</f>
        <v>700</v>
      </c>
      <c r="E96" s="50"/>
      <c r="F96" s="51">
        <v>45411</v>
      </c>
    </row>
    <row r="97" spans="1:7" x14ac:dyDescent="0.2">
      <c r="A97" s="52" t="s">
        <v>132</v>
      </c>
      <c r="B97" s="52">
        <v>50</v>
      </c>
      <c r="C97" s="48">
        <v>395</v>
      </c>
      <c r="D97" s="48">
        <f>C97*B97</f>
        <v>19750</v>
      </c>
      <c r="E97" s="50"/>
      <c r="F97" s="51">
        <v>45413</v>
      </c>
    </row>
    <row r="98" spans="1:7" x14ac:dyDescent="0.2">
      <c r="A98" s="52" t="s">
        <v>30</v>
      </c>
      <c r="B98" s="52">
        <v>50</v>
      </c>
      <c r="C98" s="48">
        <v>20</v>
      </c>
      <c r="D98" s="48">
        <f>C98*B98</f>
        <v>1000</v>
      </c>
      <c r="E98" s="50"/>
      <c r="F98" s="51">
        <v>45413</v>
      </c>
    </row>
    <row r="99" spans="1:7" x14ac:dyDescent="0.2">
      <c r="A99" s="52" t="s">
        <v>134</v>
      </c>
      <c r="B99" s="52">
        <v>1</v>
      </c>
      <c r="C99" s="48">
        <v>7500</v>
      </c>
      <c r="D99" s="48">
        <f>C99*B99</f>
        <v>7500</v>
      </c>
      <c r="E99" s="50"/>
      <c r="F99" s="51">
        <v>45414</v>
      </c>
    </row>
    <row r="100" spans="1:7" x14ac:dyDescent="0.2">
      <c r="A100" s="52" t="s">
        <v>132</v>
      </c>
      <c r="B100" s="52">
        <v>50</v>
      </c>
      <c r="C100" s="48">
        <v>380</v>
      </c>
      <c r="D100" s="48">
        <f>C100*B100</f>
        <v>19000</v>
      </c>
      <c r="E100" s="50"/>
      <c r="F100" s="51">
        <v>45416</v>
      </c>
    </row>
    <row r="101" spans="1:7" x14ac:dyDescent="0.2">
      <c r="A101" s="52" t="s">
        <v>30</v>
      </c>
      <c r="B101" s="52">
        <v>50</v>
      </c>
      <c r="C101" s="48">
        <v>20</v>
      </c>
      <c r="D101" s="48">
        <f>C101*B101</f>
        <v>1000</v>
      </c>
      <c r="E101" s="50"/>
      <c r="F101" s="51">
        <v>45416</v>
      </c>
    </row>
    <row r="102" spans="1:7" x14ac:dyDescent="0.2">
      <c r="A102" s="52" t="s">
        <v>196</v>
      </c>
      <c r="B102" s="52">
        <v>1</v>
      </c>
      <c r="C102" s="48">
        <v>1200</v>
      </c>
      <c r="D102" s="48">
        <f>C102*B102</f>
        <v>1200</v>
      </c>
      <c r="E102" s="50"/>
      <c r="F102" s="51">
        <v>45416</v>
      </c>
    </row>
    <row r="103" spans="1:7" x14ac:dyDescent="0.2">
      <c r="A103" s="52" t="s">
        <v>197</v>
      </c>
      <c r="B103" s="52">
        <v>1</v>
      </c>
      <c r="C103" s="48">
        <v>150</v>
      </c>
      <c r="D103" s="48">
        <f>C103*B103</f>
        <v>150</v>
      </c>
      <c r="E103" s="50"/>
      <c r="F103" s="51">
        <v>45418</v>
      </c>
    </row>
    <row r="104" spans="1:7" x14ac:dyDescent="0.2">
      <c r="A104" s="52" t="s">
        <v>134</v>
      </c>
      <c r="B104" s="52">
        <v>1</v>
      </c>
      <c r="C104" s="48">
        <v>7500</v>
      </c>
      <c r="D104" s="48">
        <f>C104*B104</f>
        <v>7500</v>
      </c>
      <c r="E104" s="50"/>
      <c r="F104" s="51">
        <v>45419</v>
      </c>
    </row>
    <row r="105" spans="1:7" x14ac:dyDescent="0.2">
      <c r="A105" s="52" t="s">
        <v>160</v>
      </c>
      <c r="B105" s="52">
        <v>1</v>
      </c>
      <c r="C105" s="48">
        <v>350</v>
      </c>
      <c r="D105" s="48">
        <f>C105*B105</f>
        <v>350</v>
      </c>
      <c r="E105" s="50"/>
      <c r="F105" s="51">
        <v>45419</v>
      </c>
    </row>
    <row r="106" spans="1:7" x14ac:dyDescent="0.2">
      <c r="A106" s="52" t="s">
        <v>198</v>
      </c>
      <c r="B106" s="52">
        <v>1</v>
      </c>
      <c r="C106" s="48">
        <v>500</v>
      </c>
      <c r="D106" s="48">
        <f>C106*B106</f>
        <v>500</v>
      </c>
      <c r="E106" s="50"/>
      <c r="F106" s="51">
        <v>45422</v>
      </c>
    </row>
    <row r="107" spans="1:7" x14ac:dyDescent="0.2">
      <c r="A107" s="52" t="s">
        <v>199</v>
      </c>
      <c r="B107" s="52">
        <v>3708</v>
      </c>
      <c r="C107" s="48">
        <v>6</v>
      </c>
      <c r="D107" s="48">
        <f>C107*B107+2</f>
        <v>22250</v>
      </c>
      <c r="E107" s="50"/>
      <c r="F107" s="51">
        <v>45430</v>
      </c>
    </row>
    <row r="108" spans="1:7" x14ac:dyDescent="0.2">
      <c r="A108" s="52" t="s">
        <v>160</v>
      </c>
      <c r="B108" s="52">
        <v>1</v>
      </c>
      <c r="C108" s="48">
        <v>400</v>
      </c>
      <c r="D108" s="48">
        <f>C108*B108</f>
        <v>400</v>
      </c>
      <c r="E108" s="50"/>
      <c r="F108" s="51">
        <v>45437</v>
      </c>
    </row>
    <row r="109" spans="1:7" x14ac:dyDescent="0.2">
      <c r="A109" s="52" t="s">
        <v>200</v>
      </c>
      <c r="B109" s="52">
        <v>1</v>
      </c>
      <c r="C109" s="48">
        <v>3000</v>
      </c>
      <c r="D109" s="48">
        <f>C109*B109</f>
        <v>3000</v>
      </c>
      <c r="E109" s="50"/>
      <c r="F109" s="51"/>
    </row>
    <row r="110" spans="1:7" x14ac:dyDescent="0.2">
      <c r="A110" s="52" t="s">
        <v>201</v>
      </c>
      <c r="B110" s="52">
        <v>1</v>
      </c>
      <c r="C110" s="48">
        <v>80000</v>
      </c>
      <c r="D110" s="48">
        <f>C110*B110</f>
        <v>80000</v>
      </c>
      <c r="E110" s="50"/>
      <c r="F110" s="51">
        <v>45439</v>
      </c>
      <c r="G110" t="s">
        <v>202</v>
      </c>
    </row>
    <row r="111" spans="1:7" x14ac:dyDescent="0.2">
      <c r="A111" s="52" t="s">
        <v>130</v>
      </c>
      <c r="B111" s="52">
        <v>100</v>
      </c>
      <c r="C111" s="48">
        <v>540</v>
      </c>
      <c r="D111" s="48">
        <f>C111*B111</f>
        <v>54000</v>
      </c>
      <c r="E111" s="50"/>
      <c r="F111" s="51">
        <v>45440</v>
      </c>
      <c r="G111" t="s">
        <v>203</v>
      </c>
    </row>
    <row r="112" spans="1:7" x14ac:dyDescent="0.2">
      <c r="A112" s="52" t="s">
        <v>131</v>
      </c>
      <c r="B112" s="52">
        <v>25</v>
      </c>
      <c r="C112" s="48">
        <v>150</v>
      </c>
      <c r="D112" s="48">
        <f>C112*B112</f>
        <v>3750</v>
      </c>
      <c r="E112" s="50"/>
      <c r="F112" s="51">
        <v>45440</v>
      </c>
    </row>
    <row r="113" spans="1:6" x14ac:dyDescent="0.2">
      <c r="A113" s="52" t="s">
        <v>132</v>
      </c>
      <c r="B113" s="52">
        <v>30</v>
      </c>
      <c r="C113" s="48">
        <v>400</v>
      </c>
      <c r="D113" s="48">
        <f>C113*B113</f>
        <v>12000</v>
      </c>
      <c r="E113" s="50"/>
      <c r="F113" s="51">
        <v>46535</v>
      </c>
    </row>
    <row r="114" spans="1:6" x14ac:dyDescent="0.2">
      <c r="A114" s="52" t="s">
        <v>204</v>
      </c>
      <c r="B114" s="52">
        <v>1</v>
      </c>
      <c r="C114" s="48">
        <v>1400</v>
      </c>
      <c r="D114" s="48">
        <f>C114*B114</f>
        <v>1400</v>
      </c>
      <c r="E114" s="50"/>
      <c r="F114" s="51">
        <v>45440</v>
      </c>
    </row>
    <row r="115" spans="1:6" x14ac:dyDescent="0.2">
      <c r="A115" s="52" t="s">
        <v>135</v>
      </c>
      <c r="B115" s="52">
        <v>1</v>
      </c>
      <c r="C115" s="48">
        <v>13500</v>
      </c>
      <c r="D115" s="48">
        <f>C115*B115</f>
        <v>13500</v>
      </c>
      <c r="E115" s="50"/>
      <c r="F115" s="51">
        <v>45440</v>
      </c>
    </row>
    <row r="116" spans="1:6" x14ac:dyDescent="0.2">
      <c r="A116" s="52" t="s">
        <v>138</v>
      </c>
      <c r="B116" s="52">
        <v>1</v>
      </c>
      <c r="C116" s="48">
        <v>95000</v>
      </c>
      <c r="D116" s="48">
        <f>C116*B116</f>
        <v>95000</v>
      </c>
      <c r="E116" s="50"/>
      <c r="F116" s="51">
        <v>45440</v>
      </c>
    </row>
    <row r="117" spans="1:6" x14ac:dyDescent="0.2">
      <c r="A117" s="52" t="s">
        <v>134</v>
      </c>
      <c r="B117" s="52">
        <v>1</v>
      </c>
      <c r="C117" s="48">
        <v>7500</v>
      </c>
      <c r="D117" s="48">
        <f>C117*B117</f>
        <v>7500</v>
      </c>
      <c r="E117" s="50"/>
      <c r="F117" s="51">
        <v>45440</v>
      </c>
    </row>
    <row r="118" spans="1:6" x14ac:dyDescent="0.2">
      <c r="A118" s="52" t="s">
        <v>205</v>
      </c>
      <c r="B118" s="52">
        <v>6</v>
      </c>
      <c r="C118" s="48">
        <v>12000</v>
      </c>
      <c r="D118" s="48">
        <f>C118*B118</f>
        <v>72000</v>
      </c>
      <c r="E118" s="50"/>
      <c r="F118" s="51">
        <v>45440</v>
      </c>
    </row>
    <row r="119" spans="1:6" x14ac:dyDescent="0.2">
      <c r="A119" s="52" t="s">
        <v>29</v>
      </c>
      <c r="B119" s="52">
        <v>50</v>
      </c>
      <c r="C119" s="48">
        <v>400</v>
      </c>
      <c r="D119" s="48">
        <f>C119*B119</f>
        <v>20000</v>
      </c>
      <c r="E119" s="50"/>
      <c r="F119" s="51">
        <v>45442</v>
      </c>
    </row>
    <row r="120" spans="1:6" x14ac:dyDescent="0.2">
      <c r="A120" s="52" t="s">
        <v>30</v>
      </c>
      <c r="B120" s="52">
        <v>50</v>
      </c>
      <c r="C120" s="48">
        <v>30</v>
      </c>
      <c r="D120" s="48">
        <f>C120*B120</f>
        <v>1500</v>
      </c>
      <c r="E120" s="50"/>
      <c r="F120" s="51">
        <v>45442</v>
      </c>
    </row>
    <row r="121" spans="1:6" x14ac:dyDescent="0.2">
      <c r="A121" s="52" t="s">
        <v>206</v>
      </c>
      <c r="B121" s="52">
        <v>1</v>
      </c>
      <c r="C121" s="48">
        <v>4000</v>
      </c>
      <c r="D121" s="48">
        <f>C121*B121</f>
        <v>4000</v>
      </c>
      <c r="E121" s="50"/>
      <c r="F121" s="51">
        <v>45446</v>
      </c>
    </row>
    <row r="122" spans="1:6" x14ac:dyDescent="0.2">
      <c r="A122" s="52" t="s">
        <v>132</v>
      </c>
      <c r="B122" s="52">
        <v>100</v>
      </c>
      <c r="C122" s="48">
        <v>430</v>
      </c>
      <c r="D122" s="48">
        <f>C122*B122</f>
        <v>43000</v>
      </c>
      <c r="E122" s="50"/>
      <c r="F122" s="51">
        <v>45446</v>
      </c>
    </row>
    <row r="123" spans="1:6" x14ac:dyDescent="0.2">
      <c r="A123" s="52" t="s">
        <v>30</v>
      </c>
      <c r="B123" s="52">
        <v>100</v>
      </c>
      <c r="C123" s="48">
        <v>30</v>
      </c>
      <c r="D123" s="48">
        <f>C123*B123</f>
        <v>3000</v>
      </c>
      <c r="E123" s="50"/>
      <c r="F123" s="51">
        <v>45446</v>
      </c>
    </row>
    <row r="124" spans="1:6" x14ac:dyDescent="0.2">
      <c r="A124" s="52" t="s">
        <v>134</v>
      </c>
      <c r="B124" s="52">
        <v>1</v>
      </c>
      <c r="C124" s="48">
        <v>7500</v>
      </c>
      <c r="D124" s="48">
        <f>C124*B124</f>
        <v>7500</v>
      </c>
      <c r="E124" s="50"/>
      <c r="F124" s="51">
        <v>45446</v>
      </c>
    </row>
    <row r="125" spans="1:6" x14ac:dyDescent="0.2">
      <c r="A125" s="52" t="s">
        <v>160</v>
      </c>
      <c r="B125" s="52">
        <v>1</v>
      </c>
      <c r="C125" s="48">
        <v>950</v>
      </c>
      <c r="D125" s="48">
        <f>C125*B125</f>
        <v>950</v>
      </c>
      <c r="E125" s="50"/>
      <c r="F125" s="51">
        <v>45447</v>
      </c>
    </row>
    <row r="126" spans="1:6" x14ac:dyDescent="0.2">
      <c r="A126" s="52" t="s">
        <v>134</v>
      </c>
      <c r="B126" s="52">
        <v>1</v>
      </c>
      <c r="C126" s="48">
        <v>7500</v>
      </c>
      <c r="D126" s="48">
        <f>C126*B126</f>
        <v>7500</v>
      </c>
      <c r="E126" s="50"/>
      <c r="F126" s="51">
        <v>45818</v>
      </c>
    </row>
    <row r="127" spans="1:6" x14ac:dyDescent="0.2">
      <c r="A127" s="52" t="s">
        <v>132</v>
      </c>
      <c r="B127" s="52">
        <v>100</v>
      </c>
      <c r="C127" s="48">
        <v>415</v>
      </c>
      <c r="D127" s="48">
        <f>C127*B127</f>
        <v>41500</v>
      </c>
      <c r="E127" s="50"/>
      <c r="F127" s="51">
        <v>45454</v>
      </c>
    </row>
    <row r="128" spans="1:6" x14ac:dyDescent="0.2">
      <c r="A128" s="52" t="s">
        <v>30</v>
      </c>
      <c r="B128" s="52">
        <v>100</v>
      </c>
      <c r="C128" s="48">
        <v>30</v>
      </c>
      <c r="D128" s="48">
        <f>C128*B128</f>
        <v>3000</v>
      </c>
      <c r="E128" s="50"/>
      <c r="F128" s="51">
        <v>45454</v>
      </c>
    </row>
    <row r="129" spans="1:6" x14ac:dyDescent="0.2">
      <c r="A129" s="52" t="s">
        <v>168</v>
      </c>
      <c r="B129" s="52">
        <v>4</v>
      </c>
      <c r="C129" s="48">
        <v>100</v>
      </c>
      <c r="D129" s="48">
        <f>C129*B129</f>
        <v>400</v>
      </c>
      <c r="E129" s="50"/>
      <c r="F129" s="51">
        <v>45822</v>
      </c>
    </row>
    <row r="130" spans="1:6" x14ac:dyDescent="0.2">
      <c r="A130" s="52" t="s">
        <v>207</v>
      </c>
      <c r="B130" s="52">
        <v>1</v>
      </c>
      <c r="C130" s="48">
        <v>4000</v>
      </c>
      <c r="D130" s="48">
        <f>C130*B130</f>
        <v>4000</v>
      </c>
      <c r="E130" s="50"/>
      <c r="F130" s="51">
        <v>45478</v>
      </c>
    </row>
    <row r="131" spans="1:6" x14ac:dyDescent="0.2">
      <c r="A131" s="52" t="s">
        <v>208</v>
      </c>
      <c r="B131" s="52">
        <v>1</v>
      </c>
      <c r="C131" s="48">
        <v>850</v>
      </c>
      <c r="D131" s="48">
        <f>C131*B131</f>
        <v>850</v>
      </c>
      <c r="E131" s="50"/>
      <c r="F131" s="51">
        <v>45477</v>
      </c>
    </row>
    <row r="132" spans="1:6" x14ac:dyDescent="0.2">
      <c r="A132" s="52" t="s">
        <v>168</v>
      </c>
      <c r="B132" s="52">
        <v>2</v>
      </c>
      <c r="C132" s="48">
        <v>100</v>
      </c>
      <c r="D132" s="48">
        <f>C132*B132</f>
        <v>200</v>
      </c>
      <c r="E132" s="50"/>
      <c r="F132" s="51">
        <v>45477</v>
      </c>
    </row>
    <row r="133" spans="1:6" x14ac:dyDescent="0.2">
      <c r="A133" s="52" t="s">
        <v>133</v>
      </c>
      <c r="B133" s="52">
        <v>1</v>
      </c>
      <c r="C133" s="48">
        <v>500</v>
      </c>
      <c r="D133" s="48">
        <f>C133*B133</f>
        <v>500</v>
      </c>
      <c r="E133" s="50"/>
      <c r="F133" s="51">
        <v>45477</v>
      </c>
    </row>
    <row r="134" spans="1:6" x14ac:dyDescent="0.2">
      <c r="A134" s="52" t="s">
        <v>209</v>
      </c>
      <c r="B134" s="52">
        <v>1</v>
      </c>
      <c r="C134" s="48">
        <v>200</v>
      </c>
      <c r="D134" s="48">
        <f>C134*B134</f>
        <v>200</v>
      </c>
      <c r="E134" s="50"/>
      <c r="F134" s="51">
        <v>45477</v>
      </c>
    </row>
    <row r="135" spans="1:6" x14ac:dyDescent="0.2">
      <c r="A135" s="52" t="s">
        <v>210</v>
      </c>
      <c r="B135" s="52">
        <v>3</v>
      </c>
      <c r="C135" s="48">
        <v>350</v>
      </c>
      <c r="D135" s="48">
        <f>C135*B135</f>
        <v>1050</v>
      </c>
      <c r="E135" s="50"/>
      <c r="F135" s="51">
        <v>45482</v>
      </c>
    </row>
    <row r="136" spans="1:6" x14ac:dyDescent="0.2">
      <c r="A136" s="52" t="s">
        <v>163</v>
      </c>
      <c r="B136" s="52">
        <v>2</v>
      </c>
      <c r="C136" s="48">
        <v>100</v>
      </c>
      <c r="D136" s="48">
        <f>C136*B136</f>
        <v>200</v>
      </c>
      <c r="E136" s="50"/>
      <c r="F136" s="51">
        <v>45482</v>
      </c>
    </row>
    <row r="137" spans="1:6" x14ac:dyDescent="0.2">
      <c r="A137" s="52" t="s">
        <v>211</v>
      </c>
      <c r="B137" s="52">
        <v>1</v>
      </c>
      <c r="C137" s="48">
        <v>350</v>
      </c>
      <c r="D137" s="48">
        <f>C137*B137</f>
        <v>350</v>
      </c>
      <c r="E137" s="50"/>
      <c r="F137" s="51">
        <v>45482</v>
      </c>
    </row>
    <row r="138" spans="1:6" x14ac:dyDescent="0.2">
      <c r="A138" s="52" t="s">
        <v>212</v>
      </c>
      <c r="B138" s="52">
        <v>1</v>
      </c>
      <c r="C138" s="48">
        <v>300</v>
      </c>
      <c r="D138" s="48">
        <f>C138*B138</f>
        <v>300</v>
      </c>
      <c r="E138" s="50"/>
      <c r="F138" s="51">
        <v>45482</v>
      </c>
    </row>
    <row r="139" spans="1:6" x14ac:dyDescent="0.2">
      <c r="A139" s="52" t="s">
        <v>160</v>
      </c>
      <c r="B139" s="52">
        <v>1</v>
      </c>
      <c r="C139" s="48">
        <v>300</v>
      </c>
      <c r="D139" s="48">
        <f>C139*B139</f>
        <v>300</v>
      </c>
      <c r="E139" s="50"/>
      <c r="F139" s="51">
        <v>45482</v>
      </c>
    </row>
    <row r="140" spans="1:6" x14ac:dyDescent="0.2">
      <c r="A140" s="52" t="s">
        <v>134</v>
      </c>
      <c r="B140" s="52">
        <v>1</v>
      </c>
      <c r="C140" s="48">
        <v>7500</v>
      </c>
      <c r="D140" s="48">
        <f>C140*B140</f>
        <v>7500</v>
      </c>
      <c r="E140" s="50"/>
      <c r="F140" s="51">
        <v>45484</v>
      </c>
    </row>
    <row r="141" spans="1:6" x14ac:dyDescent="0.2">
      <c r="A141" s="52" t="s">
        <v>213</v>
      </c>
      <c r="B141" s="52">
        <v>1</v>
      </c>
      <c r="C141" s="48">
        <v>4000</v>
      </c>
      <c r="D141" s="48">
        <f>C141*B141</f>
        <v>4000</v>
      </c>
      <c r="E141" s="50"/>
      <c r="F141" s="51">
        <v>45874</v>
      </c>
    </row>
    <row r="142" spans="1:6" x14ac:dyDescent="0.2">
      <c r="A142" s="52" t="s">
        <v>199</v>
      </c>
      <c r="B142" s="52">
        <v>1</v>
      </c>
      <c r="C142" s="48">
        <v>7140</v>
      </c>
      <c r="D142" s="48">
        <f>C142*B142</f>
        <v>7140</v>
      </c>
      <c r="E142" s="50"/>
      <c r="F142" s="51">
        <v>45873</v>
      </c>
    </row>
    <row r="143" spans="1:6" x14ac:dyDescent="0.2">
      <c r="A143" s="52" t="s">
        <v>132</v>
      </c>
      <c r="B143" s="52">
        <v>25</v>
      </c>
      <c r="C143" s="48">
        <v>400</v>
      </c>
      <c r="D143" s="48">
        <f>C143*B143</f>
        <v>10000</v>
      </c>
      <c r="E143" s="50"/>
      <c r="F143" s="51">
        <v>45539</v>
      </c>
    </row>
    <row r="144" spans="1:6" x14ac:dyDescent="0.2">
      <c r="A144" s="52" t="s">
        <v>30</v>
      </c>
      <c r="B144" s="52">
        <v>25</v>
      </c>
      <c r="C144" s="48">
        <v>20</v>
      </c>
      <c r="D144" s="48">
        <f>C144*B144</f>
        <v>500</v>
      </c>
      <c r="E144" s="50"/>
      <c r="F144" s="51">
        <v>45539</v>
      </c>
    </row>
    <row r="145" spans="1:6" x14ac:dyDescent="0.2">
      <c r="A145" s="52" t="s">
        <v>214</v>
      </c>
      <c r="B145" s="52">
        <v>1</v>
      </c>
      <c r="C145" s="48">
        <v>500</v>
      </c>
      <c r="D145" s="48">
        <f>C145*B145</f>
        <v>500</v>
      </c>
      <c r="E145" s="50"/>
      <c r="F145" s="51">
        <v>45904</v>
      </c>
    </row>
    <row r="146" spans="1:6" x14ac:dyDescent="0.2">
      <c r="A146" s="52" t="s">
        <v>215</v>
      </c>
      <c r="B146" s="52">
        <v>1</v>
      </c>
      <c r="C146" s="48">
        <v>4000</v>
      </c>
      <c r="D146" s="48">
        <f>C146*B146</f>
        <v>4000</v>
      </c>
      <c r="E146" s="50"/>
      <c r="F146" s="51">
        <v>45904</v>
      </c>
    </row>
    <row r="147" spans="1:6" x14ac:dyDescent="0.2">
      <c r="A147" s="52" t="s">
        <v>132</v>
      </c>
      <c r="B147" s="52">
        <v>25</v>
      </c>
      <c r="C147" s="48">
        <v>400</v>
      </c>
      <c r="D147" s="48">
        <f>C147*B147</f>
        <v>10000</v>
      </c>
      <c r="E147" s="50"/>
      <c r="F147" s="51">
        <v>45544</v>
      </c>
    </row>
    <row r="148" spans="1:6" x14ac:dyDescent="0.2">
      <c r="A148" s="52" t="s">
        <v>30</v>
      </c>
      <c r="B148" s="52">
        <v>25</v>
      </c>
      <c r="C148" s="48">
        <v>20</v>
      </c>
      <c r="D148" s="48">
        <f>C148*B148</f>
        <v>500</v>
      </c>
      <c r="E148" s="50"/>
      <c r="F148" s="51">
        <v>45544</v>
      </c>
    </row>
    <row r="149" spans="1:6" x14ac:dyDescent="0.2">
      <c r="A149" s="52" t="s">
        <v>160</v>
      </c>
      <c r="B149" s="52">
        <v>1</v>
      </c>
      <c r="C149" s="48">
        <v>300</v>
      </c>
      <c r="D149" s="48">
        <f>C149*B149</f>
        <v>300</v>
      </c>
      <c r="E149" s="50"/>
      <c r="F149" s="51">
        <v>45544</v>
      </c>
    </row>
    <row r="150" spans="1:6" x14ac:dyDescent="0.2">
      <c r="A150" s="52" t="s">
        <v>216</v>
      </c>
      <c r="B150" s="52">
        <v>1</v>
      </c>
      <c r="C150" s="48">
        <v>4000</v>
      </c>
      <c r="D150" s="48">
        <f>C150*B150</f>
        <v>4000</v>
      </c>
      <c r="E150" s="50"/>
      <c r="F150" s="51">
        <v>45549</v>
      </c>
    </row>
    <row r="151" spans="1:6" x14ac:dyDescent="0.2">
      <c r="A151" s="52" t="s">
        <v>217</v>
      </c>
      <c r="B151" s="52">
        <v>1</v>
      </c>
      <c r="C151" s="48">
        <v>80000</v>
      </c>
      <c r="D151" s="48">
        <f>C151*B151</f>
        <v>80000</v>
      </c>
      <c r="E151" s="50"/>
      <c r="F151" s="51">
        <v>45553</v>
      </c>
    </row>
    <row r="152" spans="1:6" x14ac:dyDescent="0.2">
      <c r="A152" s="52" t="s">
        <v>29</v>
      </c>
      <c r="B152" s="52">
        <v>50</v>
      </c>
      <c r="C152" s="48">
        <v>400</v>
      </c>
      <c r="D152" s="48">
        <f>C152*B152</f>
        <v>20000</v>
      </c>
      <c r="E152" s="50"/>
      <c r="F152" s="51">
        <v>45553</v>
      </c>
    </row>
    <row r="153" spans="1:6" x14ac:dyDescent="0.2">
      <c r="A153" s="52" t="s">
        <v>133</v>
      </c>
      <c r="B153" s="52">
        <v>2</v>
      </c>
      <c r="C153" s="48">
        <v>500</v>
      </c>
      <c r="D153" s="48">
        <f>C153*B153</f>
        <v>1000</v>
      </c>
      <c r="E153" s="50"/>
      <c r="F153" s="51">
        <v>374271</v>
      </c>
    </row>
    <row r="154" spans="1:6" x14ac:dyDescent="0.2">
      <c r="A154" s="52" t="s">
        <v>30</v>
      </c>
      <c r="B154" s="52">
        <v>50</v>
      </c>
      <c r="C154" s="48">
        <v>20</v>
      </c>
      <c r="D154" s="48">
        <f>C154*B154</f>
        <v>1000</v>
      </c>
      <c r="E154" s="50"/>
      <c r="F154" s="51">
        <v>45553</v>
      </c>
    </row>
    <row r="155" spans="1:6" x14ac:dyDescent="0.2">
      <c r="A155" s="52" t="s">
        <v>176</v>
      </c>
      <c r="B155" s="52">
        <v>120</v>
      </c>
      <c r="C155" s="48">
        <v>340</v>
      </c>
      <c r="D155" s="48">
        <f>C155*B155</f>
        <v>40800</v>
      </c>
      <c r="E155" s="50"/>
      <c r="F155" s="51">
        <v>45554</v>
      </c>
    </row>
    <row r="156" spans="1:6" x14ac:dyDescent="0.2">
      <c r="A156" s="52" t="s">
        <v>131</v>
      </c>
      <c r="B156" s="52">
        <v>80</v>
      </c>
      <c r="C156" s="48">
        <v>150</v>
      </c>
      <c r="D156" s="48">
        <f>C156*B156</f>
        <v>12000</v>
      </c>
      <c r="E156" s="50"/>
      <c r="F156" s="51">
        <v>45554</v>
      </c>
    </row>
    <row r="157" spans="1:6" x14ac:dyDescent="0.2">
      <c r="A157" s="52" t="s">
        <v>218</v>
      </c>
      <c r="B157" s="52">
        <v>1</v>
      </c>
      <c r="C157" s="48">
        <v>1200</v>
      </c>
      <c r="D157" s="48">
        <f>C157*B157</f>
        <v>1200</v>
      </c>
      <c r="E157" s="50"/>
      <c r="F157" s="51">
        <v>45554</v>
      </c>
    </row>
    <row r="158" spans="1:6" x14ac:dyDescent="0.2">
      <c r="A158" s="52" t="s">
        <v>219</v>
      </c>
      <c r="B158" s="52">
        <v>1</v>
      </c>
      <c r="C158" s="48">
        <v>46000</v>
      </c>
      <c r="D158" s="48">
        <f>C158*B158</f>
        <v>46000</v>
      </c>
      <c r="E158" s="50"/>
      <c r="F158" s="51">
        <v>45554</v>
      </c>
    </row>
    <row r="159" spans="1:6" x14ac:dyDescent="0.2">
      <c r="A159" s="52" t="s">
        <v>134</v>
      </c>
      <c r="B159" s="52">
        <v>1</v>
      </c>
      <c r="C159" s="48">
        <v>7500</v>
      </c>
      <c r="D159" s="48">
        <f>C159*B159</f>
        <v>7500</v>
      </c>
      <c r="E159" s="50"/>
      <c r="F159" s="51">
        <v>45555</v>
      </c>
    </row>
    <row r="160" spans="1:6" x14ac:dyDescent="0.2">
      <c r="A160" s="52" t="s">
        <v>220</v>
      </c>
      <c r="B160" s="52">
        <v>1</v>
      </c>
      <c r="C160" s="48">
        <v>900</v>
      </c>
      <c r="D160" s="48">
        <f>C160*B160</f>
        <v>900</v>
      </c>
      <c r="E160" s="50"/>
      <c r="F160" s="51">
        <v>45563</v>
      </c>
    </row>
    <row r="161" spans="1:6" x14ac:dyDescent="0.2">
      <c r="A161" s="52" t="s">
        <v>221</v>
      </c>
      <c r="B161" s="52">
        <v>1</v>
      </c>
      <c r="C161" s="48">
        <v>4000</v>
      </c>
      <c r="D161" s="48">
        <f>C161*B161</f>
        <v>4000</v>
      </c>
      <c r="E161" s="50"/>
      <c r="F161" s="51">
        <v>45565</v>
      </c>
    </row>
    <row r="162" spans="1:6" x14ac:dyDescent="0.2">
      <c r="A162" s="52" t="s">
        <v>168</v>
      </c>
      <c r="B162" s="52">
        <v>2</v>
      </c>
      <c r="C162" s="48">
        <v>100</v>
      </c>
      <c r="D162" s="48">
        <f>C162*B162</f>
        <v>200</v>
      </c>
      <c r="E162" s="50"/>
      <c r="F162" s="51">
        <v>45930</v>
      </c>
    </row>
    <row r="163" spans="1:6" x14ac:dyDescent="0.2">
      <c r="A163" s="52" t="s">
        <v>222</v>
      </c>
      <c r="B163" s="52">
        <v>2</v>
      </c>
      <c r="C163" s="48">
        <v>1350</v>
      </c>
      <c r="D163" s="48">
        <f>C163*B163</f>
        <v>2700</v>
      </c>
      <c r="E163" s="50"/>
      <c r="F163" s="51">
        <v>45584</v>
      </c>
    </row>
    <row r="164" spans="1:6" x14ac:dyDescent="0.2">
      <c r="A164" s="52" t="s">
        <v>208</v>
      </c>
      <c r="B164" s="52">
        <v>1</v>
      </c>
      <c r="C164" s="48">
        <v>950</v>
      </c>
      <c r="D164" s="48">
        <f>C164*B164</f>
        <v>950</v>
      </c>
      <c r="E164" s="50"/>
      <c r="F164" s="51">
        <v>45584</v>
      </c>
    </row>
    <row r="165" spans="1:6" x14ac:dyDescent="0.2">
      <c r="A165" s="52" t="s">
        <v>183</v>
      </c>
      <c r="B165" s="52">
        <v>1</v>
      </c>
      <c r="C165" s="48">
        <v>100</v>
      </c>
      <c r="D165" s="48">
        <f>C165*B165</f>
        <v>100</v>
      </c>
      <c r="E165" s="50"/>
      <c r="F165" s="51">
        <v>45584</v>
      </c>
    </row>
    <row r="166" spans="1:6" x14ac:dyDescent="0.2">
      <c r="A166" s="52" t="s">
        <v>223</v>
      </c>
      <c r="B166" s="52">
        <v>1</v>
      </c>
      <c r="C166" s="48">
        <v>100</v>
      </c>
      <c r="D166" s="48">
        <f>C166*B166</f>
        <v>100</v>
      </c>
      <c r="E166" s="50"/>
      <c r="F166" s="51">
        <v>45584</v>
      </c>
    </row>
    <row r="167" spans="1:6" x14ac:dyDescent="0.2">
      <c r="A167" s="52" t="s">
        <v>182</v>
      </c>
      <c r="B167" s="52">
        <v>2</v>
      </c>
      <c r="C167" s="48">
        <v>100</v>
      </c>
      <c r="D167" s="48">
        <f>C167*B167</f>
        <v>200</v>
      </c>
      <c r="E167" s="50"/>
      <c r="F167" s="51">
        <v>45584</v>
      </c>
    </row>
    <row r="168" spans="1:6" ht="12" customHeight="1" x14ac:dyDescent="0.2">
      <c r="A168" s="52" t="s">
        <v>224</v>
      </c>
      <c r="B168" s="52">
        <v>15</v>
      </c>
      <c r="C168" s="48">
        <v>100</v>
      </c>
      <c r="D168" s="48">
        <f>C168*B168</f>
        <v>1500</v>
      </c>
      <c r="E168" s="50"/>
      <c r="F168" s="51">
        <v>45584</v>
      </c>
    </row>
    <row r="169" spans="1:6" x14ac:dyDescent="0.2">
      <c r="A169" s="52" t="s">
        <v>225</v>
      </c>
      <c r="B169" s="52">
        <v>4</v>
      </c>
      <c r="C169" s="48">
        <v>350</v>
      </c>
      <c r="D169" s="48">
        <f>C169*B169</f>
        <v>1400</v>
      </c>
      <c r="E169" s="50"/>
      <c r="F169" s="51">
        <v>45584</v>
      </c>
    </row>
    <row r="170" spans="1:6" x14ac:dyDescent="0.2">
      <c r="A170" s="52" t="s">
        <v>226</v>
      </c>
      <c r="B170" s="52">
        <v>1</v>
      </c>
      <c r="C170" s="48">
        <v>300</v>
      </c>
      <c r="D170" s="48">
        <f>C170*B170</f>
        <v>300</v>
      </c>
      <c r="E170" s="50"/>
      <c r="F170" s="51">
        <v>45584</v>
      </c>
    </row>
    <row r="171" spans="1:6" x14ac:dyDescent="0.2">
      <c r="A171" s="52" t="s">
        <v>160</v>
      </c>
      <c r="B171" s="52">
        <v>1</v>
      </c>
      <c r="C171" s="48">
        <v>400</v>
      </c>
      <c r="D171" s="48">
        <f>C171*B171</f>
        <v>400</v>
      </c>
      <c r="E171" s="50"/>
      <c r="F171" s="51">
        <v>45586</v>
      </c>
    </row>
    <row r="172" spans="1:6" x14ac:dyDescent="0.2">
      <c r="A172" s="52" t="s">
        <v>227</v>
      </c>
      <c r="B172" s="52">
        <v>1</v>
      </c>
      <c r="C172" s="48">
        <v>400</v>
      </c>
      <c r="D172" s="48">
        <f>C172*B172</f>
        <v>400</v>
      </c>
      <c r="E172" s="50"/>
      <c r="F172" s="51">
        <v>45586</v>
      </c>
    </row>
    <row r="173" spans="1:6" x14ac:dyDescent="0.2">
      <c r="A173" s="52" t="s">
        <v>228</v>
      </c>
      <c r="B173" s="52">
        <v>1</v>
      </c>
      <c r="C173" s="48">
        <v>1000</v>
      </c>
      <c r="D173" s="48">
        <f>C173*B173</f>
        <v>1000</v>
      </c>
      <c r="E173" s="50"/>
      <c r="F173" s="51">
        <v>45586</v>
      </c>
    </row>
    <row r="174" spans="1:6" x14ac:dyDescent="0.2">
      <c r="A174" s="52" t="s">
        <v>132</v>
      </c>
      <c r="B174" s="52">
        <v>25</v>
      </c>
      <c r="C174" s="48">
        <v>400</v>
      </c>
      <c r="D174" s="48">
        <f>C174*B174</f>
        <v>10000</v>
      </c>
      <c r="E174" s="50"/>
      <c r="F174" s="51">
        <v>45589</v>
      </c>
    </row>
    <row r="175" spans="1:6" x14ac:dyDescent="0.2">
      <c r="A175" s="52" t="s">
        <v>30</v>
      </c>
      <c r="B175" s="52">
        <v>25</v>
      </c>
      <c r="C175" s="48">
        <v>20</v>
      </c>
      <c r="D175" s="48">
        <f>C175*B175</f>
        <v>500</v>
      </c>
      <c r="E175" s="50"/>
      <c r="F175" s="51">
        <v>45589</v>
      </c>
    </row>
    <row r="176" spans="1:6" x14ac:dyDescent="0.2">
      <c r="A176" s="52" t="s">
        <v>229</v>
      </c>
      <c r="B176" s="52">
        <v>1</v>
      </c>
      <c r="C176" s="48">
        <v>150</v>
      </c>
      <c r="D176" s="48">
        <f>C176*B176</f>
        <v>150</v>
      </c>
      <c r="E176" s="50"/>
      <c r="F176" s="51">
        <v>45589</v>
      </c>
    </row>
    <row r="177" spans="1:6" x14ac:dyDescent="0.2">
      <c r="A177" s="52" t="s">
        <v>29</v>
      </c>
      <c r="B177" s="52">
        <v>15</v>
      </c>
      <c r="C177" s="48">
        <v>400</v>
      </c>
      <c r="D177" s="48">
        <f>C177*B177</f>
        <v>6000</v>
      </c>
      <c r="E177" s="50"/>
      <c r="F177" s="51">
        <v>45591</v>
      </c>
    </row>
    <row r="178" spans="1:6" x14ac:dyDescent="0.2">
      <c r="A178" s="52" t="s">
        <v>30</v>
      </c>
      <c r="B178" s="52">
        <v>15</v>
      </c>
      <c r="C178" s="48">
        <v>20</v>
      </c>
      <c r="D178" s="48">
        <f>C178*B178</f>
        <v>300</v>
      </c>
      <c r="E178" s="50"/>
      <c r="F178" s="51">
        <v>45591</v>
      </c>
    </row>
    <row r="179" spans="1:6" x14ac:dyDescent="0.2">
      <c r="A179" s="52" t="s">
        <v>230</v>
      </c>
      <c r="B179" s="52">
        <v>1</v>
      </c>
      <c r="C179" s="48">
        <v>3000</v>
      </c>
      <c r="D179" s="48">
        <f>C179*B179</f>
        <v>3000</v>
      </c>
      <c r="E179" s="50"/>
      <c r="F179" s="51">
        <v>45593</v>
      </c>
    </row>
    <row r="180" spans="1:6" x14ac:dyDescent="0.2">
      <c r="A180" s="52" t="s">
        <v>231</v>
      </c>
      <c r="B180" s="52">
        <v>14</v>
      </c>
      <c r="C180" s="48">
        <v>200</v>
      </c>
      <c r="D180" s="48">
        <f>C180*B180</f>
        <v>2800</v>
      </c>
      <c r="E180" s="50"/>
      <c r="F180" s="51">
        <v>45593</v>
      </c>
    </row>
    <row r="181" spans="1:6" x14ac:dyDescent="0.2">
      <c r="A181" s="52" t="s">
        <v>232</v>
      </c>
      <c r="B181" s="52">
        <v>1</v>
      </c>
      <c r="C181" s="48">
        <v>1500</v>
      </c>
      <c r="D181" s="48">
        <f>C181*B181</f>
        <v>1500</v>
      </c>
      <c r="E181" s="50"/>
      <c r="F181" s="51">
        <v>45593</v>
      </c>
    </row>
    <row r="182" spans="1:6" x14ac:dyDescent="0.2">
      <c r="A182" s="52" t="s">
        <v>233</v>
      </c>
      <c r="B182" s="52">
        <v>1</v>
      </c>
      <c r="C182" s="48">
        <v>200</v>
      </c>
      <c r="D182" s="48">
        <f>C182*B182</f>
        <v>200</v>
      </c>
      <c r="E182" s="50"/>
      <c r="F182" s="51">
        <v>45593</v>
      </c>
    </row>
    <row r="183" spans="1:6" x14ac:dyDescent="0.2">
      <c r="A183" s="52" t="s">
        <v>168</v>
      </c>
      <c r="B183" s="52">
        <v>4</v>
      </c>
      <c r="C183" s="48">
        <v>100</v>
      </c>
      <c r="D183" s="48">
        <f>C183*B183</f>
        <v>400</v>
      </c>
      <c r="E183" s="50"/>
      <c r="F183" s="51">
        <v>45958</v>
      </c>
    </row>
    <row r="184" spans="1:6" x14ac:dyDescent="0.2">
      <c r="A184" s="52" t="s">
        <v>234</v>
      </c>
      <c r="B184" s="52">
        <v>3</v>
      </c>
      <c r="C184" s="48">
        <v>1800</v>
      </c>
      <c r="D184" s="48">
        <f>C184*B184</f>
        <v>5400</v>
      </c>
      <c r="E184" s="50"/>
      <c r="F184" s="51">
        <v>45593</v>
      </c>
    </row>
    <row r="185" spans="1:6" x14ac:dyDescent="0.2">
      <c r="A185" s="52" t="s">
        <v>235</v>
      </c>
      <c r="B185" s="52">
        <v>1</v>
      </c>
      <c r="C185" s="48">
        <v>4000</v>
      </c>
      <c r="D185" s="48">
        <f>C185*B185</f>
        <v>4000</v>
      </c>
      <c r="E185" s="50"/>
      <c r="F185" s="51">
        <v>45597</v>
      </c>
    </row>
    <row r="186" spans="1:6" x14ac:dyDescent="0.2">
      <c r="A186" s="52" t="s">
        <v>236</v>
      </c>
      <c r="B186" s="52">
        <v>2</v>
      </c>
      <c r="C186" s="48">
        <v>1350</v>
      </c>
      <c r="D186" s="48">
        <f>C186*B186</f>
        <v>2700</v>
      </c>
      <c r="E186" s="50"/>
      <c r="F186" s="51">
        <v>45600</v>
      </c>
    </row>
    <row r="187" spans="1:6" x14ac:dyDescent="0.2">
      <c r="A187" s="52" t="s">
        <v>224</v>
      </c>
      <c r="B187" s="52">
        <v>5</v>
      </c>
      <c r="C187" s="48">
        <v>100</v>
      </c>
      <c r="D187" s="48">
        <f>C187*B187</f>
        <v>500</v>
      </c>
      <c r="E187" s="50"/>
      <c r="F187" s="51">
        <v>45600</v>
      </c>
    </row>
    <row r="188" spans="1:6" x14ac:dyDescent="0.2">
      <c r="A188" s="52" t="s">
        <v>237</v>
      </c>
      <c r="B188" s="52">
        <v>5</v>
      </c>
      <c r="C188" s="48">
        <v>350</v>
      </c>
      <c r="D188" s="48">
        <f>C188*B188</f>
        <v>1750</v>
      </c>
      <c r="E188" s="50"/>
      <c r="F188" s="51">
        <v>45600</v>
      </c>
    </row>
    <row r="189" spans="1:6" x14ac:dyDescent="0.2">
      <c r="A189" s="52" t="s">
        <v>223</v>
      </c>
      <c r="B189" s="52">
        <v>1</v>
      </c>
      <c r="C189" s="48">
        <v>100</v>
      </c>
      <c r="D189" s="48">
        <f>C189*B189</f>
        <v>100</v>
      </c>
      <c r="E189" s="50"/>
      <c r="F189" s="51">
        <v>45600</v>
      </c>
    </row>
    <row r="190" spans="1:6" x14ac:dyDescent="0.2">
      <c r="A190" s="52" t="s">
        <v>182</v>
      </c>
      <c r="B190" s="52">
        <v>1</v>
      </c>
      <c r="C190" s="48">
        <v>100</v>
      </c>
      <c r="D190" s="48">
        <f>C190*B190</f>
        <v>100</v>
      </c>
      <c r="E190" s="50"/>
      <c r="F190" s="51">
        <v>45600</v>
      </c>
    </row>
    <row r="191" spans="1:6" x14ac:dyDescent="0.2">
      <c r="A191" s="52" t="s">
        <v>238</v>
      </c>
      <c r="B191" s="52">
        <v>1</v>
      </c>
      <c r="C191" s="48">
        <v>300</v>
      </c>
      <c r="D191" s="48">
        <f>C191*B191</f>
        <v>300</v>
      </c>
      <c r="E191" s="50"/>
      <c r="F191" s="51">
        <v>45600</v>
      </c>
    </row>
    <row r="192" spans="1:6" x14ac:dyDescent="0.2">
      <c r="A192" s="52" t="s">
        <v>153</v>
      </c>
      <c r="B192" s="52">
        <v>1</v>
      </c>
      <c r="C192" s="48">
        <v>1000</v>
      </c>
      <c r="D192" s="48">
        <f>C192*B192</f>
        <v>1000</v>
      </c>
      <c r="E192" s="50"/>
      <c r="F192" s="51">
        <v>45604</v>
      </c>
    </row>
    <row r="193" spans="1:6" x14ac:dyDescent="0.2">
      <c r="A193" s="52" t="s">
        <v>239</v>
      </c>
      <c r="B193" s="52">
        <v>1</v>
      </c>
      <c r="C193" s="48">
        <v>1000</v>
      </c>
      <c r="D193" s="48">
        <f>C193*B193</f>
        <v>1000</v>
      </c>
      <c r="E193" s="50"/>
      <c r="F193" s="51">
        <v>45604</v>
      </c>
    </row>
    <row r="194" spans="1:6" x14ac:dyDescent="0.2">
      <c r="A194" s="52" t="s">
        <v>134</v>
      </c>
      <c r="B194" s="52">
        <v>1</v>
      </c>
      <c r="C194" s="48">
        <v>8000</v>
      </c>
      <c r="D194" s="48">
        <f>C194*B194</f>
        <v>8000</v>
      </c>
      <c r="E194" s="50"/>
      <c r="F194" s="51">
        <v>45609</v>
      </c>
    </row>
    <row r="195" spans="1:6" x14ac:dyDescent="0.2">
      <c r="A195" s="52" t="s">
        <v>132</v>
      </c>
      <c r="B195" s="52">
        <v>12</v>
      </c>
      <c r="C195" s="48">
        <v>420</v>
      </c>
      <c r="D195" s="48">
        <f>C195*B195</f>
        <v>5040</v>
      </c>
      <c r="E195" s="50"/>
      <c r="F195" s="51">
        <v>45609</v>
      </c>
    </row>
    <row r="196" spans="1:6" x14ac:dyDescent="0.2">
      <c r="A196" s="52" t="s">
        <v>30</v>
      </c>
      <c r="B196" s="52">
        <v>12</v>
      </c>
      <c r="C196" s="48">
        <v>20</v>
      </c>
      <c r="D196" s="48">
        <f>C196*B196+10</f>
        <v>250</v>
      </c>
      <c r="E196" s="50"/>
      <c r="F196" s="51">
        <v>45609</v>
      </c>
    </row>
    <row r="197" spans="1:6" x14ac:dyDescent="0.2">
      <c r="A197" s="52" t="s">
        <v>240</v>
      </c>
      <c r="B197" s="52">
        <v>780</v>
      </c>
      <c r="C197" s="48">
        <v>8</v>
      </c>
      <c r="D197" s="48">
        <f>C197*B197+10</f>
        <v>6250</v>
      </c>
      <c r="E197" s="50"/>
      <c r="F197" s="51">
        <v>45612</v>
      </c>
    </row>
    <row r="198" spans="1:6" x14ac:dyDescent="0.2">
      <c r="A198" s="52" t="s">
        <v>241</v>
      </c>
      <c r="B198" s="52">
        <v>1</v>
      </c>
      <c r="C198" s="48">
        <v>16200</v>
      </c>
      <c r="D198" s="48">
        <f>C198*B198</f>
        <v>16200</v>
      </c>
      <c r="E198" s="50"/>
      <c r="F198" s="51">
        <v>45618</v>
      </c>
    </row>
    <row r="199" spans="1:6" x14ac:dyDescent="0.2">
      <c r="A199" s="52" t="s">
        <v>242</v>
      </c>
      <c r="B199" s="52">
        <v>1</v>
      </c>
      <c r="C199" s="48">
        <v>5000</v>
      </c>
      <c r="D199" s="48">
        <f>C199*B199</f>
        <v>5000</v>
      </c>
      <c r="E199" s="50"/>
      <c r="F199" s="51">
        <v>45621</v>
      </c>
    </row>
    <row r="200" spans="1:6" x14ac:dyDescent="0.2">
      <c r="A200" s="52" t="s">
        <v>243</v>
      </c>
      <c r="B200" s="52">
        <v>1</v>
      </c>
      <c r="C200" s="48">
        <v>10000</v>
      </c>
      <c r="D200" s="48">
        <f>C200*B200</f>
        <v>10000</v>
      </c>
      <c r="E200" s="50"/>
      <c r="F200" s="51">
        <v>45625</v>
      </c>
    </row>
    <row r="201" spans="1:6" x14ac:dyDescent="0.2">
      <c r="A201" s="52" t="s">
        <v>244</v>
      </c>
      <c r="B201" s="52">
        <v>1</v>
      </c>
      <c r="C201" s="48">
        <v>1500</v>
      </c>
      <c r="D201" s="48">
        <f>C201*B201</f>
        <v>1500</v>
      </c>
      <c r="E201" s="50"/>
      <c r="F201" s="51">
        <v>45621</v>
      </c>
    </row>
    <row r="202" spans="1:6" x14ac:dyDescent="0.2">
      <c r="A202" s="52" t="s">
        <v>245</v>
      </c>
      <c r="B202" s="52">
        <v>1</v>
      </c>
      <c r="C202" s="48">
        <v>4000</v>
      </c>
      <c r="D202" s="48">
        <f>C202*B202</f>
        <v>4000</v>
      </c>
      <c r="E202" s="50"/>
      <c r="F202" s="51">
        <v>45627</v>
      </c>
    </row>
    <row r="203" spans="1:6" x14ac:dyDescent="0.2">
      <c r="A203" s="52" t="s">
        <v>160</v>
      </c>
      <c r="B203" s="52">
        <v>1</v>
      </c>
      <c r="C203" s="48">
        <v>400</v>
      </c>
      <c r="D203" s="48">
        <f>C203*B203</f>
        <v>400</v>
      </c>
      <c r="E203" s="50"/>
      <c r="F203" s="51">
        <v>45995</v>
      </c>
    </row>
    <row r="204" spans="1:6" x14ac:dyDescent="0.2">
      <c r="A204" s="52" t="s">
        <v>246</v>
      </c>
      <c r="B204" s="52">
        <v>1</v>
      </c>
      <c r="C204" s="48">
        <v>500</v>
      </c>
      <c r="D204" s="48">
        <f>C204*B204</f>
        <v>500</v>
      </c>
      <c r="E204" s="50"/>
      <c r="F204" s="51">
        <v>45644</v>
      </c>
    </row>
    <row r="205" spans="1:6" x14ac:dyDescent="0.2">
      <c r="A205" s="52" t="s">
        <v>247</v>
      </c>
      <c r="B205" s="52">
        <v>1</v>
      </c>
      <c r="C205" s="48">
        <v>4000</v>
      </c>
      <c r="D205" s="48">
        <f>C205*B205</f>
        <v>4000</v>
      </c>
      <c r="E205" s="50"/>
      <c r="F205" s="51">
        <v>45658</v>
      </c>
    </row>
    <row r="206" spans="1:6" x14ac:dyDescent="0.2">
      <c r="A206" s="52" t="s">
        <v>248</v>
      </c>
      <c r="B206" s="169">
        <v>1</v>
      </c>
      <c r="C206" s="48">
        <v>6000</v>
      </c>
      <c r="D206" s="48">
        <f>C206*B206</f>
        <v>6000</v>
      </c>
      <c r="E206" s="50"/>
      <c r="F206" s="51">
        <v>45668</v>
      </c>
    </row>
    <row r="207" spans="1:6" x14ac:dyDescent="0.2">
      <c r="A207" s="52" t="s">
        <v>244</v>
      </c>
      <c r="B207" s="169">
        <v>1</v>
      </c>
      <c r="C207" s="48">
        <v>1000</v>
      </c>
      <c r="D207" s="48">
        <f>C207*B207</f>
        <v>1000</v>
      </c>
      <c r="E207" s="50"/>
      <c r="F207" s="51">
        <v>45668</v>
      </c>
    </row>
    <row r="208" spans="1:6" x14ac:dyDescent="0.2">
      <c r="A208" s="52" t="s">
        <v>249</v>
      </c>
      <c r="B208" s="169">
        <v>1</v>
      </c>
      <c r="C208" s="48">
        <v>5000</v>
      </c>
      <c r="D208" s="48">
        <f>C208*B208</f>
        <v>5000</v>
      </c>
      <c r="E208" s="50"/>
      <c r="F208" s="51">
        <v>45673</v>
      </c>
    </row>
    <row r="209" spans="1:6" x14ac:dyDescent="0.2">
      <c r="A209" s="52" t="s">
        <v>249</v>
      </c>
      <c r="B209" s="169">
        <v>1</v>
      </c>
      <c r="C209" s="48">
        <v>5000</v>
      </c>
      <c r="D209" s="48">
        <f>C209*B209</f>
        <v>5000</v>
      </c>
      <c r="E209" s="50"/>
      <c r="F209" s="51">
        <v>45677</v>
      </c>
    </row>
    <row r="210" spans="1:6" x14ac:dyDescent="0.2">
      <c r="A210" s="52" t="s">
        <v>250</v>
      </c>
      <c r="B210" s="52">
        <v>1</v>
      </c>
      <c r="C210" s="48">
        <v>4000</v>
      </c>
      <c r="D210" s="48">
        <f>C210*B210</f>
        <v>4000</v>
      </c>
      <c r="E210" s="50"/>
      <c r="F210" s="51">
        <v>45689</v>
      </c>
    </row>
    <row r="211" spans="1:6" x14ac:dyDescent="0.2">
      <c r="A211" s="52" t="s">
        <v>73</v>
      </c>
      <c r="B211" s="52">
        <v>1</v>
      </c>
      <c r="C211" s="48">
        <v>2500</v>
      </c>
      <c r="D211" s="48">
        <f>C211*B211</f>
        <v>2500</v>
      </c>
      <c r="E211" s="50"/>
      <c r="F211" s="51">
        <v>45691</v>
      </c>
    </row>
    <row r="212" spans="1:6" x14ac:dyDescent="0.2">
      <c r="A212" s="52" t="s">
        <v>251</v>
      </c>
      <c r="B212" s="52">
        <v>1</v>
      </c>
      <c r="C212" s="48">
        <v>150</v>
      </c>
      <c r="D212" s="48">
        <f>C212*B212</f>
        <v>150</v>
      </c>
      <c r="E212" s="50"/>
      <c r="F212" s="51">
        <v>45691</v>
      </c>
    </row>
    <row r="213" spans="1:6" x14ac:dyDescent="0.2">
      <c r="A213" s="52" t="s">
        <v>252</v>
      </c>
      <c r="B213" s="52">
        <v>1</v>
      </c>
      <c r="C213" s="48">
        <v>400</v>
      </c>
      <c r="D213" s="48">
        <f>C213*B213</f>
        <v>400</v>
      </c>
      <c r="E213" s="50"/>
      <c r="F213" s="51">
        <v>45697</v>
      </c>
    </row>
    <row r="214" spans="1:6" x14ac:dyDescent="0.2">
      <c r="A214" s="52" t="s">
        <v>253</v>
      </c>
      <c r="B214" s="52">
        <v>1</v>
      </c>
      <c r="C214" s="48">
        <v>5500</v>
      </c>
      <c r="D214" s="48">
        <f>C214*B214</f>
        <v>5500</v>
      </c>
      <c r="E214" s="50"/>
      <c r="F214" s="51">
        <v>45699</v>
      </c>
    </row>
    <row r="215" spans="1:6" x14ac:dyDescent="0.2">
      <c r="A215" s="52" t="s">
        <v>160</v>
      </c>
      <c r="B215" s="52">
        <v>1</v>
      </c>
      <c r="C215" s="48">
        <v>450</v>
      </c>
      <c r="D215" s="48">
        <f>C215*B215</f>
        <v>450</v>
      </c>
      <c r="E215" s="50"/>
      <c r="F215" s="51">
        <v>45701</v>
      </c>
    </row>
    <row r="216" spans="1:6" x14ac:dyDescent="0.2">
      <c r="A216" s="52" t="s">
        <v>254</v>
      </c>
      <c r="B216" s="52">
        <v>1</v>
      </c>
      <c r="C216" s="48">
        <v>1500</v>
      </c>
      <c r="D216" s="48">
        <f>C216*B216</f>
        <v>1500</v>
      </c>
      <c r="E216" s="50"/>
      <c r="F216" s="51">
        <v>45701</v>
      </c>
    </row>
    <row r="217" spans="1:6" x14ac:dyDescent="0.2">
      <c r="A217" s="52" t="s">
        <v>253</v>
      </c>
      <c r="B217" s="52">
        <v>1</v>
      </c>
      <c r="C217" s="48">
        <v>5500</v>
      </c>
      <c r="D217" s="48">
        <f>C217*B217</f>
        <v>5500</v>
      </c>
      <c r="E217" s="50"/>
      <c r="F217" s="51">
        <v>45701</v>
      </c>
    </row>
    <row r="218" spans="1:6" x14ac:dyDescent="0.2">
      <c r="A218" s="52" t="s">
        <v>160</v>
      </c>
      <c r="B218" s="52">
        <v>1</v>
      </c>
      <c r="C218" s="48">
        <v>500</v>
      </c>
      <c r="D218" s="48">
        <f>C218*B218</f>
        <v>500</v>
      </c>
      <c r="E218" s="50"/>
      <c r="F218" s="51">
        <v>45706</v>
      </c>
    </row>
    <row r="219" spans="1:6" x14ac:dyDescent="0.2">
      <c r="A219" s="52" t="s">
        <v>254</v>
      </c>
      <c r="B219" s="52">
        <v>1</v>
      </c>
      <c r="C219" s="48">
        <v>1500</v>
      </c>
      <c r="D219" s="48">
        <f>C219*B219</f>
        <v>1500</v>
      </c>
      <c r="E219" s="50"/>
      <c r="F219" s="51">
        <v>45709</v>
      </c>
    </row>
    <row r="220" spans="1:6" x14ac:dyDescent="0.2">
      <c r="A220" s="52" t="s">
        <v>167</v>
      </c>
      <c r="B220" s="52">
        <v>1</v>
      </c>
      <c r="C220" s="48">
        <v>4000</v>
      </c>
      <c r="D220" s="48">
        <f>C220*B220</f>
        <v>4000</v>
      </c>
      <c r="E220" s="50"/>
      <c r="F220" s="51">
        <v>45717</v>
      </c>
    </row>
    <row r="221" spans="1:6" x14ac:dyDescent="0.2">
      <c r="A221" s="52" t="s">
        <v>160</v>
      </c>
      <c r="B221" s="52">
        <v>1</v>
      </c>
      <c r="C221" s="48">
        <v>500</v>
      </c>
      <c r="D221" s="48">
        <f>C221*B221</f>
        <v>500</v>
      </c>
      <c r="E221" s="50"/>
      <c r="F221" s="51">
        <v>45720</v>
      </c>
    </row>
    <row r="222" spans="1:6" x14ac:dyDescent="0.2">
      <c r="A222" s="52" t="s">
        <v>255</v>
      </c>
      <c r="B222" s="52">
        <v>1</v>
      </c>
      <c r="C222" s="48">
        <v>5000</v>
      </c>
      <c r="D222" s="48">
        <f>C222*B222</f>
        <v>5000</v>
      </c>
      <c r="E222" s="50"/>
      <c r="F222" s="51">
        <v>45727</v>
      </c>
    </row>
    <row r="223" spans="1:6" x14ac:dyDescent="0.2">
      <c r="A223" s="52" t="s">
        <v>256</v>
      </c>
      <c r="B223" s="52">
        <v>1</v>
      </c>
      <c r="C223" s="48">
        <v>3000</v>
      </c>
      <c r="D223" s="48">
        <f>C223*B223</f>
        <v>3000</v>
      </c>
      <c r="E223" s="50"/>
      <c r="F223" s="51">
        <v>45727</v>
      </c>
    </row>
    <row r="224" spans="1:6" x14ac:dyDescent="0.2">
      <c r="A224" s="52" t="s">
        <v>257</v>
      </c>
      <c r="B224" s="52">
        <v>6</v>
      </c>
      <c r="C224" s="48">
        <v>1200</v>
      </c>
      <c r="D224" s="48">
        <f>C224*B224</f>
        <v>7200</v>
      </c>
      <c r="E224" s="50"/>
      <c r="F224" s="51">
        <v>45738</v>
      </c>
    </row>
    <row r="225" spans="1:7" x14ac:dyDescent="0.2">
      <c r="A225" s="52" t="s">
        <v>258</v>
      </c>
      <c r="B225" s="52">
        <v>9</v>
      </c>
      <c r="C225" s="48">
        <v>750</v>
      </c>
      <c r="D225" s="48">
        <f>C225*B225</f>
        <v>6750</v>
      </c>
      <c r="E225" s="50"/>
      <c r="F225" s="51">
        <v>45738</v>
      </c>
    </row>
    <row r="226" spans="1:7" x14ac:dyDescent="0.2">
      <c r="A226" s="52" t="s">
        <v>259</v>
      </c>
      <c r="B226" s="52">
        <v>6</v>
      </c>
      <c r="C226" s="48">
        <v>650</v>
      </c>
      <c r="D226" s="48">
        <f>C226*B226</f>
        <v>3900</v>
      </c>
      <c r="E226" s="50"/>
      <c r="F226" s="51">
        <v>45738</v>
      </c>
    </row>
    <row r="227" spans="1:7" x14ac:dyDescent="0.2">
      <c r="A227" s="52" t="s">
        <v>260</v>
      </c>
      <c r="B227" s="52">
        <v>1</v>
      </c>
      <c r="C227" s="48">
        <v>550</v>
      </c>
      <c r="D227" s="48">
        <f>C227*B227</f>
        <v>550</v>
      </c>
      <c r="E227" s="50"/>
      <c r="F227" s="51">
        <v>45738</v>
      </c>
    </row>
    <row r="228" spans="1:7" x14ac:dyDescent="0.2">
      <c r="A228" s="52" t="s">
        <v>261</v>
      </c>
      <c r="B228" s="52">
        <v>4</v>
      </c>
      <c r="C228" s="48">
        <v>150</v>
      </c>
      <c r="D228" s="48">
        <f>C228*B228</f>
        <v>600</v>
      </c>
      <c r="E228" s="50"/>
      <c r="F228" s="51">
        <v>45738</v>
      </c>
    </row>
    <row r="229" spans="1:7" x14ac:dyDescent="0.2">
      <c r="A229" s="52" t="s">
        <v>262</v>
      </c>
      <c r="B229" s="52">
        <v>15</v>
      </c>
      <c r="C229" s="48">
        <v>200</v>
      </c>
      <c r="D229" s="48">
        <f>C229*B229</f>
        <v>3000</v>
      </c>
      <c r="E229" s="50"/>
      <c r="F229" s="51">
        <v>45738</v>
      </c>
    </row>
    <row r="230" spans="1:7" x14ac:dyDescent="0.2">
      <c r="A230" s="52" t="s">
        <v>263</v>
      </c>
      <c r="B230" s="52">
        <v>7</v>
      </c>
      <c r="C230" s="48">
        <v>125</v>
      </c>
      <c r="D230" s="48">
        <f>C230*B230</f>
        <v>875</v>
      </c>
      <c r="E230" s="50"/>
      <c r="F230" s="51">
        <v>45738</v>
      </c>
    </row>
    <row r="231" spans="1:7" x14ac:dyDescent="0.2">
      <c r="A231" s="52" t="s">
        <v>264</v>
      </c>
      <c r="B231" s="52">
        <v>12</v>
      </c>
      <c r="C231" s="48">
        <v>100</v>
      </c>
      <c r="D231" s="48">
        <f>C231*B231</f>
        <v>1200</v>
      </c>
      <c r="E231" s="50"/>
      <c r="F231" s="51">
        <v>45738</v>
      </c>
    </row>
    <row r="232" spans="1:7" x14ac:dyDescent="0.2">
      <c r="A232" s="52" t="s">
        <v>265</v>
      </c>
      <c r="B232" s="52">
        <v>12</v>
      </c>
      <c r="C232" s="48">
        <v>175</v>
      </c>
      <c r="D232" s="48">
        <f>C232*B232</f>
        <v>2100</v>
      </c>
      <c r="E232" s="50"/>
      <c r="F232" s="51">
        <v>45738</v>
      </c>
    </row>
    <row r="233" spans="1:7" x14ac:dyDescent="0.2">
      <c r="A233" s="52" t="s">
        <v>266</v>
      </c>
      <c r="B233" s="52">
        <v>10</v>
      </c>
      <c r="C233" s="48">
        <v>125</v>
      </c>
      <c r="D233" s="48">
        <f>C233*B233</f>
        <v>1250</v>
      </c>
      <c r="E233" s="50"/>
      <c r="F233" s="51">
        <v>45738</v>
      </c>
    </row>
    <row r="234" spans="1:7" x14ac:dyDescent="0.2">
      <c r="A234" s="52" t="s">
        <v>267</v>
      </c>
      <c r="B234" s="52">
        <v>18</v>
      </c>
      <c r="C234" s="48">
        <v>100</v>
      </c>
      <c r="D234" s="48">
        <f>C234*B234</f>
        <v>1800</v>
      </c>
      <c r="E234" s="50"/>
      <c r="F234" s="51">
        <v>45738</v>
      </c>
    </row>
    <row r="235" spans="1:7" x14ac:dyDescent="0.2">
      <c r="A235" s="52" t="s">
        <v>268</v>
      </c>
      <c r="B235" s="52">
        <v>14</v>
      </c>
      <c r="C235" s="48">
        <v>125</v>
      </c>
      <c r="D235" s="48">
        <f>C235*B235</f>
        <v>1750</v>
      </c>
      <c r="E235" s="50"/>
      <c r="F235" s="51">
        <v>45738</v>
      </c>
    </row>
    <row r="236" spans="1:7" x14ac:dyDescent="0.2">
      <c r="A236" s="52" t="s">
        <v>269</v>
      </c>
      <c r="B236" s="52">
        <v>14</v>
      </c>
      <c r="C236" s="48">
        <v>100</v>
      </c>
      <c r="D236" s="48">
        <f>C236*B236</f>
        <v>1400</v>
      </c>
      <c r="E236" s="50"/>
      <c r="F236" s="51">
        <v>45738</v>
      </c>
      <c r="G236" s="20"/>
    </row>
    <row r="237" spans="1:7" x14ac:dyDescent="0.2">
      <c r="A237" s="52" t="s">
        <v>270</v>
      </c>
      <c r="B237" s="52">
        <v>7</v>
      </c>
      <c r="C237" s="48">
        <v>50</v>
      </c>
      <c r="D237" s="48">
        <f>C237*B237</f>
        <v>350</v>
      </c>
      <c r="E237" s="50"/>
      <c r="F237" s="51">
        <v>45738</v>
      </c>
    </row>
    <row r="238" spans="1:7" x14ac:dyDescent="0.2">
      <c r="A238" s="52" t="s">
        <v>271</v>
      </c>
      <c r="B238" s="52">
        <v>3</v>
      </c>
      <c r="C238" s="48">
        <v>400</v>
      </c>
      <c r="D238" s="48">
        <f>C238*B238</f>
        <v>1200</v>
      </c>
      <c r="E238" s="50"/>
      <c r="F238" s="51">
        <v>45738</v>
      </c>
    </row>
    <row r="239" spans="1:7" x14ac:dyDescent="0.2">
      <c r="A239" s="52" t="s">
        <v>272</v>
      </c>
      <c r="B239" s="52">
        <v>1</v>
      </c>
      <c r="C239" s="48">
        <v>75</v>
      </c>
      <c r="D239" s="48">
        <f>C239*B239</f>
        <v>75</v>
      </c>
      <c r="E239" s="50"/>
      <c r="F239" s="51">
        <v>45738</v>
      </c>
    </row>
    <row r="240" spans="1:7" x14ac:dyDescent="0.2">
      <c r="A240" s="52" t="s">
        <v>132</v>
      </c>
      <c r="B240" s="52">
        <v>50</v>
      </c>
      <c r="C240" s="48">
        <v>420</v>
      </c>
      <c r="D240" s="48">
        <f>C240*B240</f>
        <v>21000</v>
      </c>
      <c r="E240" s="50"/>
      <c r="F240" s="51">
        <v>45740</v>
      </c>
    </row>
    <row r="241" spans="1:10" x14ac:dyDescent="0.2">
      <c r="A241" s="52" t="s">
        <v>30</v>
      </c>
      <c r="B241" s="52">
        <v>50</v>
      </c>
      <c r="C241" s="48">
        <v>20</v>
      </c>
      <c r="D241" s="48">
        <f>C241*B241</f>
        <v>1000</v>
      </c>
      <c r="E241" s="50"/>
      <c r="F241" s="51">
        <v>45740</v>
      </c>
    </row>
    <row r="242" spans="1:10" x14ac:dyDescent="0.2">
      <c r="A242" s="52" t="s">
        <v>273</v>
      </c>
      <c r="B242" s="52">
        <v>1</v>
      </c>
      <c r="C242" s="48">
        <v>12500</v>
      </c>
      <c r="D242" s="48">
        <f>C242*B242</f>
        <v>12500</v>
      </c>
      <c r="E242" s="50"/>
      <c r="F242" s="51">
        <v>45740</v>
      </c>
    </row>
    <row r="243" spans="1:10" x14ac:dyDescent="0.2">
      <c r="A243" s="52" t="s">
        <v>134</v>
      </c>
      <c r="B243" s="52">
        <v>1</v>
      </c>
      <c r="C243" s="48">
        <v>8000</v>
      </c>
      <c r="D243" s="48">
        <f>C243*B243</f>
        <v>8000</v>
      </c>
      <c r="E243" s="50"/>
      <c r="F243" s="51">
        <v>45740</v>
      </c>
      <c r="J243" s="20"/>
    </row>
    <row r="244" spans="1:10" x14ac:dyDescent="0.2">
      <c r="A244" s="52" t="s">
        <v>132</v>
      </c>
      <c r="B244" s="52">
        <v>25</v>
      </c>
      <c r="C244" s="48">
        <v>420</v>
      </c>
      <c r="D244" s="48">
        <f>C244*B244</f>
        <v>10500</v>
      </c>
      <c r="E244" s="50"/>
      <c r="F244" s="51">
        <v>45742</v>
      </c>
    </row>
    <row r="245" spans="1:10" x14ac:dyDescent="0.2">
      <c r="A245" s="52" t="s">
        <v>30</v>
      </c>
      <c r="B245" s="52">
        <v>25</v>
      </c>
      <c r="C245" s="48">
        <v>20</v>
      </c>
      <c r="D245" s="48">
        <f>C245*B245</f>
        <v>500</v>
      </c>
      <c r="E245" s="50"/>
      <c r="F245" s="51">
        <v>45742</v>
      </c>
    </row>
    <row r="246" spans="1:10" x14ac:dyDescent="0.2">
      <c r="A246" s="52" t="s">
        <v>273</v>
      </c>
      <c r="B246" s="52">
        <v>1</v>
      </c>
      <c r="C246" s="48">
        <v>12500</v>
      </c>
      <c r="D246" s="48">
        <f>C246*B246</f>
        <v>12500</v>
      </c>
      <c r="E246" s="50"/>
      <c r="F246" s="51">
        <v>45742</v>
      </c>
    </row>
    <row r="247" spans="1:10" x14ac:dyDescent="0.2">
      <c r="A247" s="52" t="s">
        <v>160</v>
      </c>
      <c r="B247" s="52">
        <v>1</v>
      </c>
      <c r="C247" s="48">
        <v>500</v>
      </c>
      <c r="D247" s="48">
        <f>C247*B247</f>
        <v>500</v>
      </c>
      <c r="E247" s="50"/>
      <c r="F247" s="51">
        <v>45742</v>
      </c>
    </row>
    <row r="248" spans="1:10" x14ac:dyDescent="0.2">
      <c r="A248" s="52" t="s">
        <v>176</v>
      </c>
      <c r="B248" s="52">
        <v>50</v>
      </c>
      <c r="C248" s="48">
        <v>340</v>
      </c>
      <c r="D248" s="48">
        <f>C248*B248</f>
        <v>17000</v>
      </c>
      <c r="E248" s="50"/>
      <c r="F248" s="51">
        <v>45743</v>
      </c>
    </row>
    <row r="249" spans="1:10" x14ac:dyDescent="0.2">
      <c r="A249" s="52" t="s">
        <v>131</v>
      </c>
      <c r="B249" s="52">
        <v>25</v>
      </c>
      <c r="C249" s="48">
        <v>150</v>
      </c>
      <c r="D249" s="48">
        <f>C249*B249</f>
        <v>3750</v>
      </c>
      <c r="E249" s="50"/>
      <c r="F249" s="51">
        <v>45743</v>
      </c>
    </row>
    <row r="250" spans="1:10" x14ac:dyDescent="0.2">
      <c r="A250" s="52" t="s">
        <v>133</v>
      </c>
      <c r="B250" s="52">
        <v>1</v>
      </c>
      <c r="C250" s="48">
        <v>500</v>
      </c>
      <c r="D250" s="48">
        <f>C250*B250</f>
        <v>500</v>
      </c>
      <c r="E250" s="50"/>
      <c r="F250" s="51">
        <v>45743</v>
      </c>
      <c r="J250" s="20"/>
    </row>
    <row r="251" spans="1:10" x14ac:dyDescent="0.2">
      <c r="A251" s="52" t="s">
        <v>132</v>
      </c>
      <c r="B251" s="52">
        <v>50</v>
      </c>
      <c r="C251" s="48">
        <v>410</v>
      </c>
      <c r="D251" s="48">
        <f>C251*B251</f>
        <v>20500</v>
      </c>
      <c r="E251" s="50"/>
      <c r="F251" s="51">
        <v>45743</v>
      </c>
    </row>
    <row r="252" spans="1:10" x14ac:dyDescent="0.2">
      <c r="A252" s="52" t="s">
        <v>274</v>
      </c>
      <c r="B252" s="52">
        <v>50</v>
      </c>
      <c r="C252" s="48">
        <v>20</v>
      </c>
      <c r="D252" s="48">
        <f>C252*B252</f>
        <v>1000</v>
      </c>
      <c r="E252" s="50"/>
      <c r="F252" s="51">
        <v>45743</v>
      </c>
    </row>
    <row r="253" spans="1:10" x14ac:dyDescent="0.2">
      <c r="A253" s="52" t="s">
        <v>218</v>
      </c>
      <c r="B253" s="52">
        <v>1</v>
      </c>
      <c r="C253" s="48">
        <v>1000</v>
      </c>
      <c r="D253" s="48">
        <f>C253*B253</f>
        <v>1000</v>
      </c>
      <c r="E253" s="50"/>
      <c r="F253" s="51">
        <v>45743</v>
      </c>
    </row>
    <row r="254" spans="1:10" x14ac:dyDescent="0.2">
      <c r="A254" s="52" t="s">
        <v>275</v>
      </c>
      <c r="B254" s="52">
        <v>1</v>
      </c>
      <c r="C254" s="48">
        <v>20000</v>
      </c>
      <c r="D254" s="48">
        <f>C254*B254</f>
        <v>20000</v>
      </c>
      <c r="E254" s="50"/>
      <c r="F254" s="51">
        <v>45744</v>
      </c>
    </row>
    <row r="255" spans="1:10" x14ac:dyDescent="0.2">
      <c r="A255" s="52" t="s">
        <v>276</v>
      </c>
      <c r="B255" s="52">
        <v>2</v>
      </c>
      <c r="C255" s="48">
        <v>12500</v>
      </c>
      <c r="D255" s="48">
        <f>C255*B255</f>
        <v>25000</v>
      </c>
      <c r="E255" s="50"/>
      <c r="F255" s="51">
        <v>45744</v>
      </c>
    </row>
    <row r="256" spans="1:10" x14ac:dyDescent="0.2">
      <c r="A256" s="52" t="s">
        <v>134</v>
      </c>
      <c r="B256" s="52">
        <v>1</v>
      </c>
      <c r="C256" s="48">
        <v>8000</v>
      </c>
      <c r="D256" s="48">
        <f>C256*B256</f>
        <v>8000</v>
      </c>
      <c r="E256" s="50"/>
      <c r="F256" s="51">
        <v>45745</v>
      </c>
    </row>
    <row r="257" spans="1:11" x14ac:dyDescent="0.2">
      <c r="A257" s="52" t="s">
        <v>277</v>
      </c>
      <c r="B257" s="52">
        <v>1</v>
      </c>
      <c r="C257" s="48">
        <v>4000</v>
      </c>
      <c r="D257" s="48">
        <f>C257*B257</f>
        <v>4000</v>
      </c>
      <c r="E257" s="50"/>
      <c r="F257" s="51">
        <v>45745</v>
      </c>
    </row>
    <row r="258" spans="1:11" x14ac:dyDescent="0.2">
      <c r="A258" s="52" t="s">
        <v>132</v>
      </c>
      <c r="B258" s="52">
        <v>25</v>
      </c>
      <c r="C258" s="48">
        <v>400</v>
      </c>
      <c r="D258" s="48">
        <f>C258*B258</f>
        <v>10000</v>
      </c>
      <c r="E258" s="50"/>
      <c r="F258" s="51">
        <v>45750</v>
      </c>
    </row>
    <row r="259" spans="1:11" x14ac:dyDescent="0.2">
      <c r="A259" s="52" t="s">
        <v>274</v>
      </c>
      <c r="B259" s="52">
        <v>25</v>
      </c>
      <c r="C259" s="48">
        <v>20</v>
      </c>
      <c r="D259" s="48">
        <f>C259*B259</f>
        <v>500</v>
      </c>
      <c r="E259" s="50"/>
      <c r="F259" s="51">
        <v>45750</v>
      </c>
    </row>
    <row r="260" spans="1:11" x14ac:dyDescent="0.2">
      <c r="A260" s="52" t="s">
        <v>168</v>
      </c>
      <c r="B260" s="52">
        <v>2</v>
      </c>
      <c r="C260" s="48">
        <v>100</v>
      </c>
      <c r="D260" s="48">
        <f>C260*B260</f>
        <v>200</v>
      </c>
      <c r="E260" s="50"/>
      <c r="F260" s="51">
        <v>45751</v>
      </c>
    </row>
    <row r="261" spans="1:11" x14ac:dyDescent="0.2">
      <c r="A261" s="52" t="s">
        <v>278</v>
      </c>
      <c r="B261" s="52">
        <v>1</v>
      </c>
      <c r="C261" s="48">
        <v>1320</v>
      </c>
      <c r="D261" s="48">
        <f>C261*B261</f>
        <v>1320</v>
      </c>
      <c r="E261" s="50"/>
      <c r="F261" s="51">
        <v>45753</v>
      </c>
    </row>
    <row r="262" spans="1:11" x14ac:dyDescent="0.2">
      <c r="A262" s="52" t="s">
        <v>132</v>
      </c>
      <c r="B262" s="52">
        <v>20</v>
      </c>
      <c r="C262" s="48">
        <v>400</v>
      </c>
      <c r="D262" s="48">
        <f>C262*B262</f>
        <v>8000</v>
      </c>
      <c r="E262" s="50"/>
      <c r="F262" s="51">
        <v>45755</v>
      </c>
    </row>
    <row r="263" spans="1:11" x14ac:dyDescent="0.2">
      <c r="A263" s="52" t="s">
        <v>274</v>
      </c>
      <c r="B263" s="52">
        <v>20</v>
      </c>
      <c r="C263" s="48">
        <v>20</v>
      </c>
      <c r="D263" s="48">
        <f>C263*B263</f>
        <v>400</v>
      </c>
      <c r="E263" s="50"/>
      <c r="F263" s="51">
        <v>45755</v>
      </c>
    </row>
    <row r="264" spans="1:11" x14ac:dyDescent="0.2">
      <c r="A264" s="52" t="s">
        <v>279</v>
      </c>
      <c r="B264" s="52">
        <v>1</v>
      </c>
      <c r="C264" s="48">
        <v>900</v>
      </c>
      <c r="D264" s="48">
        <f>C264*B264</f>
        <v>900</v>
      </c>
      <c r="E264" s="50"/>
      <c r="F264" s="51">
        <v>45755</v>
      </c>
    </row>
    <row r="265" spans="1:11" x14ac:dyDescent="0.2">
      <c r="A265" s="52" t="s">
        <v>280</v>
      </c>
      <c r="B265" s="52">
        <v>275</v>
      </c>
      <c r="C265" s="48">
        <v>4</v>
      </c>
      <c r="D265" s="48">
        <f>C265*B265*30</f>
        <v>33000</v>
      </c>
      <c r="E265" s="50"/>
      <c r="F265" s="51">
        <v>45757</v>
      </c>
    </row>
    <row r="266" spans="1:11" x14ac:dyDescent="0.2">
      <c r="A266" s="52" t="s">
        <v>281</v>
      </c>
      <c r="B266" s="52">
        <v>46</v>
      </c>
      <c r="C266" s="48">
        <v>19</v>
      </c>
      <c r="D266" s="48">
        <f>C266*B266*30</f>
        <v>26220</v>
      </c>
      <c r="E266" s="50"/>
      <c r="F266" s="51">
        <v>45757</v>
      </c>
    </row>
    <row r="267" spans="1:11" x14ac:dyDescent="0.2">
      <c r="A267" s="52" t="s">
        <v>282</v>
      </c>
      <c r="B267" s="52">
        <v>450</v>
      </c>
      <c r="C267" s="48">
        <v>2.5</v>
      </c>
      <c r="D267" s="48">
        <f>C267*B267*30</f>
        <v>33750</v>
      </c>
      <c r="E267" s="50"/>
      <c r="F267" s="51">
        <v>45757</v>
      </c>
    </row>
    <row r="268" spans="1:11" x14ac:dyDescent="0.2">
      <c r="A268" s="52" t="s">
        <v>238</v>
      </c>
      <c r="B268" s="52">
        <v>1</v>
      </c>
      <c r="C268" s="48">
        <v>7000</v>
      </c>
      <c r="D268" s="48">
        <f>C268*B268</f>
        <v>7000</v>
      </c>
      <c r="E268" s="50"/>
      <c r="F268" s="51">
        <v>45757</v>
      </c>
    </row>
    <row r="269" spans="1:11" x14ac:dyDescent="0.2">
      <c r="A269" s="52" t="s">
        <v>283</v>
      </c>
      <c r="B269" s="52">
        <v>60</v>
      </c>
      <c r="C269" s="48">
        <v>100</v>
      </c>
      <c r="D269" s="48">
        <f>C269*B269</f>
        <v>6000</v>
      </c>
      <c r="E269" s="50"/>
      <c r="F269" s="51">
        <v>45756</v>
      </c>
    </row>
    <row r="270" spans="1:11" x14ac:dyDescent="0.2">
      <c r="A270" s="52" t="s">
        <v>176</v>
      </c>
      <c r="B270" s="52">
        <v>45</v>
      </c>
      <c r="C270" s="48">
        <v>340</v>
      </c>
      <c r="D270" s="48">
        <f>C270*B270</f>
        <v>15300</v>
      </c>
      <c r="E270" s="50"/>
      <c r="F270" s="51">
        <v>45756</v>
      </c>
    </row>
    <row r="271" spans="1:11" x14ac:dyDescent="0.2">
      <c r="A271" s="52" t="s">
        <v>284</v>
      </c>
      <c r="B271" s="52">
        <v>15</v>
      </c>
      <c r="C271" s="48">
        <v>30</v>
      </c>
      <c r="D271" s="48">
        <f>C271*B271</f>
        <v>450</v>
      </c>
      <c r="E271" s="50"/>
      <c r="F271" s="51">
        <v>45756</v>
      </c>
      <c r="H271" s="270" t="s">
        <v>285</v>
      </c>
      <c r="I271" s="149" t="s">
        <v>286</v>
      </c>
      <c r="J271" s="149" t="s">
        <v>287</v>
      </c>
    </row>
    <row r="272" spans="1:11" x14ac:dyDescent="0.2">
      <c r="A272" s="52" t="s">
        <v>288</v>
      </c>
      <c r="B272" s="52">
        <v>6</v>
      </c>
      <c r="C272" s="48">
        <v>100</v>
      </c>
      <c r="D272" s="48">
        <f>C272*B272</f>
        <v>600</v>
      </c>
      <c r="E272" s="50"/>
      <c r="F272" s="51">
        <v>45756</v>
      </c>
      <c r="H272" s="268" t="s">
        <v>289</v>
      </c>
      <c r="I272" s="139">
        <v>15000</v>
      </c>
      <c r="J272" s="139">
        <f>I272-J372-J374-J376-J380-J382-J392</f>
        <v>0</v>
      </c>
      <c r="K272" s="139"/>
    </row>
    <row r="273" spans="1:10" x14ac:dyDescent="0.2">
      <c r="A273" s="52" t="s">
        <v>290</v>
      </c>
      <c r="B273" s="52">
        <v>8</v>
      </c>
      <c r="C273" s="48">
        <v>100</v>
      </c>
      <c r="D273" s="48">
        <f>C273*B273</f>
        <v>800</v>
      </c>
      <c r="E273" s="50"/>
      <c r="F273" s="51">
        <v>45756</v>
      </c>
      <c r="H273" s="268" t="s">
        <v>291</v>
      </c>
      <c r="I273" s="150">
        <f>SUM(20000+5000)</f>
        <v>25000</v>
      </c>
      <c r="J273" s="150">
        <f>I273-J366-J368-J370-J378-J394-J402</f>
        <v>9000</v>
      </c>
    </row>
    <row r="274" spans="1:10" x14ac:dyDescent="0.2">
      <c r="A274" s="52" t="s">
        <v>134</v>
      </c>
      <c r="B274" s="52">
        <v>1</v>
      </c>
      <c r="C274" s="48">
        <v>8000</v>
      </c>
      <c r="D274" s="48">
        <f>C274*B274</f>
        <v>8000</v>
      </c>
      <c r="E274" s="50"/>
      <c r="F274" s="51">
        <v>45756</v>
      </c>
      <c r="I274" s="139"/>
      <c r="J274" s="150"/>
    </row>
    <row r="275" spans="1:10" x14ac:dyDescent="0.2">
      <c r="A275" s="52" t="s">
        <v>292</v>
      </c>
      <c r="B275" s="52">
        <v>10</v>
      </c>
      <c r="C275" s="48">
        <v>30</v>
      </c>
      <c r="D275" s="48">
        <f>C275*B275</f>
        <v>300</v>
      </c>
      <c r="E275" s="50"/>
      <c r="F275" s="51">
        <v>45758</v>
      </c>
      <c r="I275" s="139"/>
      <c r="J275" s="150"/>
    </row>
    <row r="276" spans="1:10" x14ac:dyDescent="0.2">
      <c r="A276" s="52" t="s">
        <v>293</v>
      </c>
      <c r="B276" s="52">
        <v>1</v>
      </c>
      <c r="C276" s="48">
        <v>400</v>
      </c>
      <c r="D276" s="48">
        <f>C276*B276</f>
        <v>400</v>
      </c>
      <c r="E276" s="50"/>
      <c r="F276" s="51">
        <v>45758</v>
      </c>
      <c r="I276" s="139"/>
      <c r="J276" s="150"/>
    </row>
    <row r="277" spans="1:10" x14ac:dyDescent="0.2">
      <c r="A277" s="52" t="s">
        <v>294</v>
      </c>
      <c r="B277" s="52">
        <v>1</v>
      </c>
      <c r="C277" s="48">
        <v>1500</v>
      </c>
      <c r="D277" s="48">
        <f>C277*B277</f>
        <v>1500</v>
      </c>
      <c r="E277" s="50"/>
      <c r="F277" s="51">
        <v>45758</v>
      </c>
      <c r="I277" s="139"/>
      <c r="J277" s="150"/>
    </row>
    <row r="278" spans="1:10" x14ac:dyDescent="0.2">
      <c r="A278" s="52" t="s">
        <v>295</v>
      </c>
      <c r="B278" s="52">
        <v>20</v>
      </c>
      <c r="C278" s="48">
        <v>225</v>
      </c>
      <c r="D278" s="48">
        <f>C278*B278</f>
        <v>4500</v>
      </c>
      <c r="E278" s="50"/>
      <c r="F278" s="51">
        <v>45758</v>
      </c>
      <c r="I278" s="139"/>
      <c r="J278" s="150"/>
    </row>
    <row r="279" spans="1:10" x14ac:dyDescent="0.2">
      <c r="A279" s="52" t="s">
        <v>296</v>
      </c>
      <c r="B279" s="52">
        <v>1</v>
      </c>
      <c r="C279" s="48">
        <v>900</v>
      </c>
      <c r="D279" s="48">
        <f>C279*B279</f>
        <v>900</v>
      </c>
      <c r="E279" s="50"/>
      <c r="F279" s="51">
        <v>45758</v>
      </c>
      <c r="I279" s="139"/>
      <c r="J279" s="150"/>
    </row>
    <row r="280" spans="1:10" x14ac:dyDescent="0.2">
      <c r="A280" s="52" t="s">
        <v>132</v>
      </c>
      <c r="B280" s="52">
        <v>15</v>
      </c>
      <c r="C280" s="48">
        <v>400</v>
      </c>
      <c r="D280" s="48">
        <f>C280*B280</f>
        <v>6000</v>
      </c>
      <c r="E280" s="50"/>
      <c r="F280" s="51">
        <v>45759</v>
      </c>
      <c r="I280" s="139"/>
      <c r="J280" s="150"/>
    </row>
    <row r="281" spans="1:10" x14ac:dyDescent="0.2">
      <c r="A281" s="52" t="s">
        <v>274</v>
      </c>
      <c r="B281" s="52">
        <v>15</v>
      </c>
      <c r="C281" s="48">
        <v>20</v>
      </c>
      <c r="D281" s="48">
        <f>C281*B281</f>
        <v>300</v>
      </c>
      <c r="E281" s="50"/>
      <c r="F281" s="51">
        <v>45759</v>
      </c>
      <c r="I281" s="139"/>
      <c r="J281" s="150"/>
    </row>
    <row r="282" spans="1:10" x14ac:dyDescent="0.2">
      <c r="A282" s="52" t="s">
        <v>297</v>
      </c>
      <c r="B282" s="52">
        <v>15</v>
      </c>
      <c r="C282" s="48">
        <v>100</v>
      </c>
      <c r="D282" s="48">
        <f>C282*B282</f>
        <v>1500</v>
      </c>
      <c r="E282" s="50"/>
      <c r="F282" s="51">
        <v>45759</v>
      </c>
      <c r="I282" s="139"/>
      <c r="J282" s="150"/>
    </row>
    <row r="283" spans="1:10" x14ac:dyDescent="0.2">
      <c r="A283" s="52" t="s">
        <v>298</v>
      </c>
      <c r="B283" s="52">
        <v>1</v>
      </c>
      <c r="C283" s="48">
        <v>100</v>
      </c>
      <c r="D283" s="48">
        <f>C283*B283</f>
        <v>100</v>
      </c>
      <c r="E283" s="50"/>
      <c r="F283" s="51">
        <v>45759</v>
      </c>
      <c r="I283" s="139"/>
      <c r="J283" s="150"/>
    </row>
    <row r="284" spans="1:10" x14ac:dyDescent="0.2">
      <c r="A284" s="52" t="s">
        <v>299</v>
      </c>
      <c r="B284" s="52">
        <v>1</v>
      </c>
      <c r="C284" s="48">
        <v>20000</v>
      </c>
      <c r="D284" s="48">
        <f>C284*B284</f>
        <v>20000</v>
      </c>
      <c r="E284" s="50"/>
      <c r="F284" s="51">
        <v>45761</v>
      </c>
      <c r="I284" s="139"/>
      <c r="J284" s="150"/>
    </row>
    <row r="285" spans="1:10" x14ac:dyDescent="0.2">
      <c r="A285" s="52" t="s">
        <v>300</v>
      </c>
      <c r="B285" s="52">
        <v>75</v>
      </c>
      <c r="C285" s="48">
        <v>4</v>
      </c>
      <c r="D285" s="48">
        <f>C285*B285*25</f>
        <v>7500</v>
      </c>
      <c r="E285" s="50"/>
      <c r="F285" s="51">
        <v>45762</v>
      </c>
      <c r="I285" s="139"/>
      <c r="J285" s="150"/>
    </row>
    <row r="286" spans="1:10" x14ac:dyDescent="0.2">
      <c r="A286" s="52" t="s">
        <v>301</v>
      </c>
      <c r="B286" s="52">
        <v>1</v>
      </c>
      <c r="C286" s="48">
        <v>1000</v>
      </c>
      <c r="D286" s="48">
        <f>C286*B286</f>
        <v>1000</v>
      </c>
      <c r="E286" s="50"/>
      <c r="F286" s="51">
        <v>45762</v>
      </c>
      <c r="I286" s="139"/>
      <c r="J286" s="150"/>
    </row>
    <row r="287" spans="1:10" x14ac:dyDescent="0.2">
      <c r="A287" s="52" t="s">
        <v>302</v>
      </c>
      <c r="B287" s="52">
        <v>20</v>
      </c>
      <c r="C287" s="48">
        <v>1650</v>
      </c>
      <c r="D287" s="48">
        <f>C287*B287</f>
        <v>33000</v>
      </c>
      <c r="E287" s="50"/>
      <c r="F287" s="51">
        <v>45761</v>
      </c>
      <c r="I287" s="139"/>
      <c r="J287" s="150"/>
    </row>
    <row r="288" spans="1:10" x14ac:dyDescent="0.2">
      <c r="A288" s="52" t="s">
        <v>303</v>
      </c>
      <c r="B288" s="52">
        <v>1</v>
      </c>
      <c r="C288" s="48">
        <v>500</v>
      </c>
      <c r="D288" s="48">
        <f>C288*B288</f>
        <v>500</v>
      </c>
      <c r="E288" s="50"/>
      <c r="F288" s="51">
        <v>45761</v>
      </c>
      <c r="I288" s="139"/>
      <c r="J288" s="150"/>
    </row>
    <row r="289" spans="1:10" x14ac:dyDescent="0.2">
      <c r="A289" s="52" t="s">
        <v>304</v>
      </c>
      <c r="B289" s="52">
        <v>9</v>
      </c>
      <c r="C289" s="48">
        <v>19</v>
      </c>
      <c r="D289" s="48">
        <f>C289*B289*25</f>
        <v>4275</v>
      </c>
      <c r="E289" s="50"/>
      <c r="F289" s="51">
        <v>45762</v>
      </c>
      <c r="I289" s="139"/>
      <c r="J289" s="150"/>
    </row>
    <row r="290" spans="1:10" x14ac:dyDescent="0.2">
      <c r="A290" s="52" t="s">
        <v>305</v>
      </c>
      <c r="B290" s="52">
        <v>10</v>
      </c>
      <c r="C290" s="48">
        <v>100</v>
      </c>
      <c r="D290" s="48">
        <f>C290*B290</f>
        <v>1000</v>
      </c>
      <c r="E290" s="50"/>
      <c r="F290" s="51">
        <v>45762</v>
      </c>
      <c r="I290" s="139"/>
      <c r="J290" s="150"/>
    </row>
    <row r="291" spans="1:10" x14ac:dyDescent="0.2">
      <c r="A291" s="52" t="s">
        <v>238</v>
      </c>
      <c r="B291" s="52">
        <v>1</v>
      </c>
      <c r="C291" s="48">
        <v>1000</v>
      </c>
      <c r="D291" s="48">
        <f>C291*B291</f>
        <v>1000</v>
      </c>
      <c r="E291" s="50"/>
      <c r="F291" s="51">
        <v>45762</v>
      </c>
      <c r="I291" s="139"/>
      <c r="J291" s="150"/>
    </row>
    <row r="292" spans="1:10" x14ac:dyDescent="0.2">
      <c r="A292" s="52" t="s">
        <v>306</v>
      </c>
      <c r="B292" s="52">
        <v>1</v>
      </c>
      <c r="C292" s="48">
        <v>600</v>
      </c>
      <c r="D292" s="48">
        <f>C292*B292</f>
        <v>600</v>
      </c>
      <c r="E292" s="50"/>
      <c r="F292" s="51">
        <v>45762</v>
      </c>
      <c r="I292" s="139"/>
      <c r="J292" s="150"/>
    </row>
    <row r="293" spans="1:10" x14ac:dyDescent="0.2">
      <c r="A293" s="52" t="s">
        <v>302</v>
      </c>
      <c r="B293" s="52">
        <v>14</v>
      </c>
      <c r="C293" s="48">
        <v>1650</v>
      </c>
      <c r="D293" s="48">
        <f>C293*B293</f>
        <v>23100</v>
      </c>
      <c r="E293" s="50"/>
      <c r="F293" s="51">
        <v>45763</v>
      </c>
      <c r="I293" s="139"/>
      <c r="J293" s="150"/>
    </row>
    <row r="294" spans="1:10" x14ac:dyDescent="0.2">
      <c r="A294" s="52" t="s">
        <v>307</v>
      </c>
      <c r="B294" s="52">
        <v>75</v>
      </c>
      <c r="C294" s="48">
        <v>2.5</v>
      </c>
      <c r="D294" s="48">
        <f>C294*B294*24</f>
        <v>4500</v>
      </c>
      <c r="E294" s="50"/>
      <c r="F294" s="51">
        <v>45763</v>
      </c>
      <c r="I294" s="139"/>
      <c r="J294" s="150"/>
    </row>
    <row r="295" spans="1:10" x14ac:dyDescent="0.2">
      <c r="A295" s="52" t="s">
        <v>308</v>
      </c>
      <c r="B295" s="52">
        <v>7</v>
      </c>
      <c r="C295" s="48">
        <v>19</v>
      </c>
      <c r="D295" s="48">
        <f>C295*B295*24</f>
        <v>3192</v>
      </c>
      <c r="E295" s="50"/>
      <c r="F295" s="51">
        <v>45763</v>
      </c>
      <c r="I295" s="139"/>
      <c r="J295" s="150"/>
    </row>
    <row r="296" spans="1:10" x14ac:dyDescent="0.2">
      <c r="A296" s="52" t="s">
        <v>309</v>
      </c>
      <c r="B296" s="52">
        <v>1</v>
      </c>
      <c r="C296" s="48">
        <v>1800</v>
      </c>
      <c r="D296" s="48">
        <f>C296*B296</f>
        <v>1800</v>
      </c>
      <c r="E296" s="50"/>
      <c r="F296" s="51">
        <v>45763</v>
      </c>
      <c r="I296" s="139"/>
      <c r="J296" s="150"/>
    </row>
    <row r="297" spans="1:10" x14ac:dyDescent="0.2">
      <c r="A297" s="52" t="s">
        <v>310</v>
      </c>
      <c r="B297" s="52">
        <v>2</v>
      </c>
      <c r="C297" s="48">
        <v>100</v>
      </c>
      <c r="D297" s="48">
        <f>C297*B297</f>
        <v>200</v>
      </c>
      <c r="E297" s="50"/>
      <c r="F297" s="51">
        <v>45763</v>
      </c>
      <c r="I297" s="139"/>
      <c r="J297" s="150"/>
    </row>
    <row r="298" spans="1:10" x14ac:dyDescent="0.2">
      <c r="A298" s="52" t="s">
        <v>311</v>
      </c>
      <c r="B298" s="52">
        <v>30</v>
      </c>
      <c r="C298" s="48">
        <v>4</v>
      </c>
      <c r="D298" s="48">
        <f>C298*B298*23</f>
        <v>2760</v>
      </c>
      <c r="E298" s="50"/>
      <c r="F298" s="51">
        <v>45764</v>
      </c>
      <c r="I298" s="139"/>
      <c r="J298" s="150"/>
    </row>
    <row r="299" spans="1:10" x14ac:dyDescent="0.2">
      <c r="A299" s="52" t="s">
        <v>301</v>
      </c>
      <c r="B299" s="52">
        <v>1</v>
      </c>
      <c r="C299" s="48">
        <v>1000</v>
      </c>
      <c r="D299" s="48">
        <f>C299*B299</f>
        <v>1000</v>
      </c>
      <c r="E299" s="50"/>
      <c r="F299" s="51">
        <v>45764</v>
      </c>
      <c r="I299" s="139"/>
      <c r="J299" s="150"/>
    </row>
    <row r="300" spans="1:10" x14ac:dyDescent="0.2">
      <c r="A300" s="52" t="s">
        <v>302</v>
      </c>
      <c r="B300" s="52">
        <v>11</v>
      </c>
      <c r="C300" s="48">
        <v>1650</v>
      </c>
      <c r="D300" s="48">
        <f>C300*B300</f>
        <v>18150</v>
      </c>
      <c r="E300" s="50"/>
      <c r="F300" s="51">
        <v>45764</v>
      </c>
      <c r="I300" s="139"/>
      <c r="J300" s="150"/>
    </row>
    <row r="301" spans="1:10" x14ac:dyDescent="0.2">
      <c r="A301" s="52" t="s">
        <v>303</v>
      </c>
      <c r="B301" s="52">
        <v>1</v>
      </c>
      <c r="C301" s="48">
        <v>350</v>
      </c>
      <c r="D301" s="48">
        <f>C301*B301</f>
        <v>350</v>
      </c>
      <c r="E301" s="50"/>
      <c r="F301" s="51">
        <v>45764</v>
      </c>
      <c r="I301" s="139"/>
      <c r="J301" s="150"/>
    </row>
    <row r="302" spans="1:10" x14ac:dyDescent="0.2">
      <c r="A302" s="52" t="s">
        <v>312</v>
      </c>
      <c r="B302" s="52">
        <v>1</v>
      </c>
      <c r="C302" s="48">
        <v>8000</v>
      </c>
      <c r="D302" s="48">
        <f>C302*B302</f>
        <v>8000</v>
      </c>
      <c r="E302" s="50"/>
      <c r="F302" s="51">
        <v>45765</v>
      </c>
      <c r="I302" s="139"/>
      <c r="J302" s="150"/>
    </row>
    <row r="303" spans="1:10" x14ac:dyDescent="0.2">
      <c r="A303" s="52" t="s">
        <v>293</v>
      </c>
      <c r="B303" s="52">
        <v>1</v>
      </c>
      <c r="C303" s="48">
        <v>500</v>
      </c>
      <c r="D303" s="48">
        <f>C303*B303</f>
        <v>500</v>
      </c>
      <c r="E303" s="50"/>
      <c r="F303" s="51">
        <v>45765</v>
      </c>
      <c r="I303" s="139"/>
      <c r="J303" s="150"/>
    </row>
    <row r="304" spans="1:10" x14ac:dyDescent="0.2">
      <c r="A304" s="52" t="s">
        <v>276</v>
      </c>
      <c r="B304" s="52">
        <v>1</v>
      </c>
      <c r="C304" s="48">
        <v>13000</v>
      </c>
      <c r="D304" s="48">
        <f>C304*B304</f>
        <v>13000</v>
      </c>
      <c r="E304" s="50"/>
      <c r="F304" s="51">
        <v>45766</v>
      </c>
      <c r="I304" s="139"/>
      <c r="J304" s="150"/>
    </row>
    <row r="305" spans="1:10" x14ac:dyDescent="0.2">
      <c r="A305" s="52" t="s">
        <v>276</v>
      </c>
      <c r="B305" s="52">
        <v>1</v>
      </c>
      <c r="C305" s="48">
        <v>13000</v>
      </c>
      <c r="D305" s="48">
        <f>C305*B305</f>
        <v>13000</v>
      </c>
      <c r="E305" s="50"/>
      <c r="F305" s="51">
        <v>45766</v>
      </c>
      <c r="I305" s="139"/>
      <c r="J305" s="150"/>
    </row>
    <row r="306" spans="1:10" x14ac:dyDescent="0.2">
      <c r="A306" s="52" t="s">
        <v>313</v>
      </c>
      <c r="B306" s="52">
        <v>1</v>
      </c>
      <c r="C306" s="48">
        <v>6000</v>
      </c>
      <c r="D306" s="48">
        <f>C306*B306</f>
        <v>6000</v>
      </c>
      <c r="E306" s="50"/>
      <c r="F306" s="51">
        <v>45766</v>
      </c>
      <c r="I306" s="139"/>
      <c r="J306" s="150"/>
    </row>
    <row r="307" spans="1:10" x14ac:dyDescent="0.2">
      <c r="A307" s="52" t="s">
        <v>314</v>
      </c>
      <c r="B307" s="52">
        <v>1</v>
      </c>
      <c r="C307" s="48">
        <v>8000</v>
      </c>
      <c r="D307" s="48">
        <f>C307*B307</f>
        <v>8000</v>
      </c>
      <c r="E307" s="50"/>
      <c r="F307" s="51">
        <v>45766</v>
      </c>
      <c r="I307" s="139"/>
      <c r="J307" s="150"/>
    </row>
    <row r="308" spans="1:10" x14ac:dyDescent="0.2">
      <c r="A308" s="52" t="s">
        <v>315</v>
      </c>
      <c r="B308" s="52">
        <v>1</v>
      </c>
      <c r="C308" s="48">
        <v>80</v>
      </c>
      <c r="D308" s="48">
        <f>C308*B308</f>
        <v>80</v>
      </c>
      <c r="E308" s="50"/>
      <c r="F308" s="51">
        <v>45766</v>
      </c>
      <c r="I308" s="139"/>
      <c r="J308" s="150"/>
    </row>
    <row r="309" spans="1:10" x14ac:dyDescent="0.2">
      <c r="A309" s="52" t="s">
        <v>316</v>
      </c>
      <c r="B309" s="52">
        <v>1</v>
      </c>
      <c r="C309" s="48">
        <v>400</v>
      </c>
      <c r="D309" s="48">
        <f>C309*B309</f>
        <v>400</v>
      </c>
      <c r="E309" s="50"/>
      <c r="F309" s="51">
        <v>45768</v>
      </c>
      <c r="I309" s="139"/>
      <c r="J309" s="150"/>
    </row>
    <row r="310" spans="1:10" x14ac:dyDescent="0.2">
      <c r="A310" s="52" t="s">
        <v>317</v>
      </c>
      <c r="B310" s="52">
        <v>1</v>
      </c>
      <c r="C310" s="48">
        <v>8000</v>
      </c>
      <c r="D310" s="48">
        <f>C310*B310</f>
        <v>8000</v>
      </c>
      <c r="E310" s="50"/>
      <c r="F310" s="51">
        <v>45768</v>
      </c>
      <c r="I310" s="139"/>
      <c r="J310" s="150"/>
    </row>
    <row r="311" spans="1:10" x14ac:dyDescent="0.2">
      <c r="A311" s="52" t="s">
        <v>318</v>
      </c>
      <c r="B311" s="52">
        <v>3</v>
      </c>
      <c r="C311" s="48">
        <v>30</v>
      </c>
      <c r="D311" s="48">
        <f>C311*B311</f>
        <v>90</v>
      </c>
      <c r="E311" s="50"/>
      <c r="F311" s="51">
        <v>45769</v>
      </c>
      <c r="I311" s="139"/>
      <c r="J311" s="150"/>
    </row>
    <row r="312" spans="1:10" x14ac:dyDescent="0.2">
      <c r="A312" s="52" t="s">
        <v>319</v>
      </c>
      <c r="B312" s="52">
        <v>25</v>
      </c>
      <c r="C312" s="48">
        <v>2.5</v>
      </c>
      <c r="D312" s="48">
        <f>C312*B312*19-37.5</f>
        <v>1150</v>
      </c>
      <c r="E312" s="50"/>
      <c r="F312" s="51">
        <v>45769</v>
      </c>
      <c r="I312" s="139"/>
      <c r="J312" s="150"/>
    </row>
    <row r="313" spans="1:10" x14ac:dyDescent="0.2">
      <c r="A313" s="52" t="s">
        <v>320</v>
      </c>
      <c r="B313" s="52">
        <v>1</v>
      </c>
      <c r="C313" s="48">
        <v>700</v>
      </c>
      <c r="D313" s="48">
        <f>C313*B313</f>
        <v>700</v>
      </c>
      <c r="E313" s="50"/>
      <c r="F313" s="51">
        <v>45769</v>
      </c>
      <c r="I313" s="139"/>
      <c r="J313" s="150"/>
    </row>
    <row r="314" spans="1:10" x14ac:dyDescent="0.2">
      <c r="A314" s="52" t="s">
        <v>168</v>
      </c>
      <c r="B314" s="52">
        <v>3</v>
      </c>
      <c r="C314" s="48">
        <v>100</v>
      </c>
      <c r="D314" s="48">
        <f>C314*B314</f>
        <v>300</v>
      </c>
      <c r="E314" s="50"/>
      <c r="F314" s="51">
        <v>45769</v>
      </c>
      <c r="I314" s="139"/>
      <c r="J314" s="150"/>
    </row>
    <row r="315" spans="1:10" x14ac:dyDescent="0.2">
      <c r="A315" s="52" t="s">
        <v>168</v>
      </c>
      <c r="B315" s="52">
        <v>4</v>
      </c>
      <c r="C315" s="48">
        <v>100</v>
      </c>
      <c r="D315" s="48">
        <f>C315*B315</f>
        <v>400</v>
      </c>
      <c r="E315" s="50"/>
      <c r="F315" s="51">
        <v>45769</v>
      </c>
      <c r="I315" s="139"/>
      <c r="J315" s="150"/>
    </row>
    <row r="316" spans="1:10" x14ac:dyDescent="0.2">
      <c r="A316" s="52" t="s">
        <v>314</v>
      </c>
      <c r="B316" s="52">
        <v>1</v>
      </c>
      <c r="C316" s="48">
        <v>8000</v>
      </c>
      <c r="D316" s="48">
        <f>C316*B316</f>
        <v>8000</v>
      </c>
      <c r="E316" s="50"/>
      <c r="F316" s="51">
        <v>45769</v>
      </c>
      <c r="I316" s="139"/>
      <c r="J316" s="150"/>
    </row>
    <row r="317" spans="1:10" x14ac:dyDescent="0.2">
      <c r="A317" s="52" t="s">
        <v>321</v>
      </c>
      <c r="B317" s="52">
        <v>50</v>
      </c>
      <c r="C317" s="48">
        <v>25</v>
      </c>
      <c r="D317" s="48">
        <f>C317*B317*2</f>
        <v>2500</v>
      </c>
      <c r="E317" s="50"/>
      <c r="F317" s="51">
        <v>45770</v>
      </c>
      <c r="I317" s="139"/>
      <c r="J317" s="150"/>
    </row>
    <row r="318" spans="1:10" x14ac:dyDescent="0.2">
      <c r="A318" s="52" t="s">
        <v>322</v>
      </c>
      <c r="B318" s="52">
        <v>1</v>
      </c>
      <c r="C318" s="48">
        <v>1000</v>
      </c>
      <c r="D318" s="48">
        <f>C318*B318</f>
        <v>1000</v>
      </c>
      <c r="E318" s="50"/>
      <c r="F318" s="51">
        <v>45770</v>
      </c>
      <c r="I318" s="139"/>
      <c r="J318" s="150"/>
    </row>
    <row r="319" spans="1:10" x14ac:dyDescent="0.2">
      <c r="A319" s="52" t="s">
        <v>323</v>
      </c>
      <c r="B319" s="52">
        <v>1</v>
      </c>
      <c r="C319" s="48">
        <v>800</v>
      </c>
      <c r="D319" s="48">
        <f>C319*B319</f>
        <v>800</v>
      </c>
      <c r="E319" s="50"/>
      <c r="F319" s="51">
        <v>45772</v>
      </c>
      <c r="I319" s="139"/>
      <c r="J319" s="150"/>
    </row>
    <row r="320" spans="1:10" x14ac:dyDescent="0.2">
      <c r="A320" s="52" t="s">
        <v>324</v>
      </c>
      <c r="B320" s="52">
        <v>1</v>
      </c>
      <c r="C320" s="48">
        <v>25</v>
      </c>
      <c r="D320" s="48">
        <f>C320*B320</f>
        <v>25</v>
      </c>
      <c r="E320" s="50"/>
      <c r="F320" s="51">
        <v>45772</v>
      </c>
      <c r="I320" s="139"/>
      <c r="J320" s="150"/>
    </row>
    <row r="321" spans="1:10" x14ac:dyDescent="0.2">
      <c r="A321" s="52" t="s">
        <v>325</v>
      </c>
      <c r="B321" s="52">
        <v>1</v>
      </c>
      <c r="C321" s="48">
        <v>353</v>
      </c>
      <c r="D321" s="48">
        <f>C321*B321</f>
        <v>353</v>
      </c>
      <c r="E321" s="50"/>
      <c r="F321" s="51">
        <v>45772</v>
      </c>
      <c r="I321" s="139"/>
      <c r="J321" s="150"/>
    </row>
    <row r="322" spans="1:10" x14ac:dyDescent="0.2">
      <c r="A322" s="52" t="s">
        <v>326</v>
      </c>
      <c r="B322" s="52">
        <v>1</v>
      </c>
      <c r="C322" s="48">
        <v>4000</v>
      </c>
      <c r="D322" s="48">
        <f>C322*B322</f>
        <v>4000</v>
      </c>
      <c r="E322" s="50"/>
      <c r="F322" s="51">
        <v>45779</v>
      </c>
      <c r="I322" s="139"/>
      <c r="J322" s="150"/>
    </row>
    <row r="323" spans="1:10" x14ac:dyDescent="0.2">
      <c r="A323" s="52" t="s">
        <v>197</v>
      </c>
      <c r="B323" s="52">
        <v>1</v>
      </c>
      <c r="C323" s="48">
        <v>500</v>
      </c>
      <c r="D323" s="48">
        <f>C323*B323</f>
        <v>500</v>
      </c>
      <c r="E323" s="50"/>
      <c r="F323" s="51">
        <v>45779</v>
      </c>
      <c r="I323" s="139"/>
      <c r="J323" s="150"/>
    </row>
    <row r="324" spans="1:10" x14ac:dyDescent="0.2">
      <c r="A324" s="52" t="s">
        <v>327</v>
      </c>
      <c r="B324" s="52">
        <v>1</v>
      </c>
      <c r="C324" s="48">
        <v>1300</v>
      </c>
      <c r="D324" s="48">
        <f>C324*B324</f>
        <v>1300</v>
      </c>
      <c r="E324" s="50"/>
      <c r="F324" s="51">
        <v>45781</v>
      </c>
      <c r="I324" s="139"/>
      <c r="J324" s="150"/>
    </row>
    <row r="325" spans="1:10" x14ac:dyDescent="0.2">
      <c r="A325" s="52" t="s">
        <v>328</v>
      </c>
      <c r="B325" s="52">
        <v>550</v>
      </c>
      <c r="C325" s="48">
        <v>2.5</v>
      </c>
      <c r="D325" s="48">
        <f>C325*B325*5</f>
        <v>6875</v>
      </c>
      <c r="E325" s="50"/>
      <c r="F325" s="51">
        <v>45786</v>
      </c>
      <c r="I325" s="139"/>
      <c r="J325" s="150"/>
    </row>
    <row r="326" spans="1:10" x14ac:dyDescent="0.2">
      <c r="A326" s="52" t="s">
        <v>329</v>
      </c>
      <c r="B326" s="52">
        <v>62</v>
      </c>
      <c r="C326" s="48">
        <v>19</v>
      </c>
      <c r="D326" s="48">
        <f>C326*B326*5</f>
        <v>5890</v>
      </c>
      <c r="E326" s="50"/>
      <c r="F326" s="51">
        <v>45786</v>
      </c>
      <c r="I326" s="139"/>
      <c r="J326" s="150"/>
    </row>
    <row r="327" spans="1:10" x14ac:dyDescent="0.2">
      <c r="A327" s="52" t="s">
        <v>330</v>
      </c>
      <c r="B327" s="52">
        <v>380</v>
      </c>
      <c r="C327" s="48">
        <v>4</v>
      </c>
      <c r="D327" s="48">
        <f>C327*B327*5</f>
        <v>7600</v>
      </c>
      <c r="E327" s="50"/>
      <c r="F327" s="51">
        <v>45786</v>
      </c>
      <c r="I327" s="139"/>
      <c r="J327" s="150"/>
    </row>
    <row r="328" spans="1:10" x14ac:dyDescent="0.2">
      <c r="A328" s="52"/>
      <c r="B328" s="52"/>
      <c r="C328" s="48"/>
      <c r="D328" s="48"/>
      <c r="E328" s="50"/>
      <c r="F328" s="52"/>
      <c r="I328" s="139"/>
      <c r="J328" s="150"/>
    </row>
    <row r="329" spans="1:10" x14ac:dyDescent="0.2">
      <c r="A329" s="52"/>
      <c r="B329" s="52"/>
      <c r="C329" s="48"/>
      <c r="D329" s="48"/>
      <c r="E329" s="50"/>
      <c r="F329" s="52"/>
      <c r="I329" s="139"/>
      <c r="J329" s="150"/>
    </row>
    <row r="330" spans="1:10" x14ac:dyDescent="0.2">
      <c r="A330" s="52"/>
      <c r="B330" s="52"/>
      <c r="C330" s="48"/>
      <c r="D330" s="48"/>
      <c r="E330" s="50"/>
      <c r="F330" s="52"/>
      <c r="I330" s="139"/>
      <c r="J330" s="150"/>
    </row>
    <row r="331" spans="1:10" x14ac:dyDescent="0.2">
      <c r="A331" s="52" t="s">
        <v>331</v>
      </c>
      <c r="B331" s="52">
        <v>40</v>
      </c>
      <c r="C331" s="48">
        <v>510</v>
      </c>
      <c r="D331" s="48">
        <f>C331*B331</f>
        <v>20400</v>
      </c>
      <c r="E331" s="50"/>
      <c r="F331" s="51">
        <v>45764</v>
      </c>
      <c r="I331" s="139"/>
      <c r="J331" s="150"/>
    </row>
    <row r="332" spans="1:10" x14ac:dyDescent="0.2">
      <c r="A332" s="52" t="s">
        <v>332</v>
      </c>
      <c r="B332" s="52">
        <v>500</v>
      </c>
      <c r="C332" s="48">
        <v>320</v>
      </c>
      <c r="D332" s="48">
        <f>C332*B332</f>
        <v>160000</v>
      </c>
      <c r="E332" s="50"/>
      <c r="F332" s="51">
        <v>45764</v>
      </c>
      <c r="I332" s="139"/>
      <c r="J332" s="150"/>
    </row>
    <row r="333" spans="1:10" x14ac:dyDescent="0.2">
      <c r="A333" s="52" t="s">
        <v>333</v>
      </c>
      <c r="B333" s="52">
        <v>15</v>
      </c>
      <c r="C333" s="48">
        <v>120</v>
      </c>
      <c r="D333" s="48">
        <f>C333*B333</f>
        <v>1800</v>
      </c>
      <c r="E333" s="50"/>
      <c r="F333" s="51">
        <v>45764</v>
      </c>
      <c r="I333" s="139"/>
      <c r="J333" s="150"/>
    </row>
    <row r="334" spans="1:10" x14ac:dyDescent="0.2">
      <c r="A334" s="52" t="s">
        <v>133</v>
      </c>
      <c r="B334" s="52">
        <v>3</v>
      </c>
      <c r="C334" s="48">
        <v>400</v>
      </c>
      <c r="D334" s="48">
        <f>C334*B334</f>
        <v>1200</v>
      </c>
      <c r="E334" s="50"/>
      <c r="F334" s="51">
        <v>45764</v>
      </c>
      <c r="I334" s="139"/>
      <c r="J334" s="150"/>
    </row>
    <row r="335" spans="1:10" x14ac:dyDescent="0.2">
      <c r="A335" s="52"/>
      <c r="B335" s="52"/>
      <c r="C335" s="48"/>
      <c r="D335" s="48"/>
      <c r="E335" s="50"/>
      <c r="F335" s="52"/>
      <c r="I335" s="139"/>
      <c r="J335" s="150"/>
    </row>
    <row r="336" spans="1:10" x14ac:dyDescent="0.2">
      <c r="A336" s="52"/>
      <c r="B336" s="52"/>
      <c r="C336" s="48"/>
      <c r="D336" s="48"/>
      <c r="E336" s="50"/>
      <c r="F336" s="52"/>
      <c r="H336" s="268" t="s">
        <v>334</v>
      </c>
      <c r="I336" s="139"/>
      <c r="J336" s="150"/>
    </row>
    <row r="337" spans="1:10" x14ac:dyDescent="0.2">
      <c r="A337" s="52"/>
      <c r="B337" s="52"/>
      <c r="C337" s="48"/>
      <c r="D337" s="48"/>
      <c r="E337" s="50"/>
      <c r="F337" s="51"/>
      <c r="I337" s="139"/>
      <c r="J337" s="150"/>
    </row>
    <row r="338" spans="1:10" x14ac:dyDescent="0.2">
      <c r="A338" s="52" t="s">
        <v>335</v>
      </c>
      <c r="B338" s="52">
        <v>1</v>
      </c>
      <c r="C338" s="48">
        <v>110000</v>
      </c>
      <c r="D338" s="48">
        <f>C338*B338</f>
        <v>110000</v>
      </c>
      <c r="E338" s="50"/>
      <c r="F338" s="51">
        <v>45770</v>
      </c>
      <c r="I338" s="139"/>
      <c r="J338" s="150"/>
    </row>
    <row r="339" spans="1:10" x14ac:dyDescent="0.2">
      <c r="A339" s="52" t="s">
        <v>336</v>
      </c>
      <c r="B339" s="52">
        <v>2</v>
      </c>
      <c r="C339" s="48">
        <v>8000</v>
      </c>
      <c r="D339" s="48">
        <f>C339*B339</f>
        <v>16000</v>
      </c>
      <c r="E339" s="50"/>
      <c r="F339" s="51">
        <v>45770</v>
      </c>
      <c r="I339" s="139"/>
      <c r="J339" s="150"/>
    </row>
    <row r="340" spans="1:10" x14ac:dyDescent="0.2">
      <c r="A340" s="52" t="s">
        <v>337</v>
      </c>
      <c r="B340" s="52">
        <v>2</v>
      </c>
      <c r="C340" s="48">
        <v>14000</v>
      </c>
      <c r="D340" s="48">
        <f>C340*B340</f>
        <v>28000</v>
      </c>
      <c r="E340" s="50"/>
      <c r="F340" s="51">
        <v>45770</v>
      </c>
      <c r="I340" s="139"/>
      <c r="J340" s="150"/>
    </row>
    <row r="341" spans="1:10" x14ac:dyDescent="0.2">
      <c r="A341" s="52" t="s">
        <v>29</v>
      </c>
      <c r="B341" s="52">
        <v>350</v>
      </c>
      <c r="C341" s="48">
        <v>385</v>
      </c>
      <c r="D341" s="48">
        <f>C341*B341</f>
        <v>134750</v>
      </c>
      <c r="E341" s="50"/>
      <c r="F341" s="51">
        <v>45770</v>
      </c>
      <c r="I341" s="139"/>
      <c r="J341" s="150"/>
    </row>
    <row r="342" spans="1:10" x14ac:dyDescent="0.2">
      <c r="A342" s="52" t="s">
        <v>338</v>
      </c>
      <c r="B342" s="52">
        <v>1</v>
      </c>
      <c r="C342" s="48">
        <v>150</v>
      </c>
      <c r="D342" s="48">
        <f>C342*B342</f>
        <v>150</v>
      </c>
      <c r="E342" s="50"/>
      <c r="F342" s="51">
        <v>45771</v>
      </c>
      <c r="I342" s="139"/>
      <c r="J342" s="150"/>
    </row>
    <row r="343" spans="1:10" x14ac:dyDescent="0.2">
      <c r="A343" s="52" t="s">
        <v>339</v>
      </c>
      <c r="B343" s="52">
        <v>1</v>
      </c>
      <c r="C343" s="48">
        <v>100000</v>
      </c>
      <c r="D343" s="48">
        <f>C343*B343</f>
        <v>100000</v>
      </c>
      <c r="E343" s="50"/>
      <c r="F343" s="51">
        <v>45771</v>
      </c>
      <c r="I343" s="139"/>
      <c r="J343" s="150"/>
    </row>
    <row r="344" spans="1:10" x14ac:dyDescent="0.2">
      <c r="A344" s="52" t="s">
        <v>340</v>
      </c>
      <c r="B344" s="52">
        <v>1</v>
      </c>
      <c r="C344" s="48">
        <v>2500</v>
      </c>
      <c r="D344" s="48">
        <f>C344*B344</f>
        <v>2500</v>
      </c>
      <c r="E344" s="50"/>
      <c r="F344" s="51">
        <v>45771</v>
      </c>
      <c r="I344" s="139"/>
      <c r="J344" s="150"/>
    </row>
    <row r="345" spans="1:10" x14ac:dyDescent="0.2">
      <c r="A345" s="52" t="s">
        <v>134</v>
      </c>
      <c r="B345" s="52">
        <v>1</v>
      </c>
      <c r="C345" s="48">
        <v>8000</v>
      </c>
      <c r="D345" s="48">
        <f>C345*B345</f>
        <v>8000</v>
      </c>
      <c r="E345" s="50"/>
      <c r="F345" s="51">
        <v>45771</v>
      </c>
      <c r="I345" s="139"/>
      <c r="J345" s="150"/>
    </row>
    <row r="346" spans="1:10" x14ac:dyDescent="0.2">
      <c r="A346" s="52" t="s">
        <v>341</v>
      </c>
      <c r="B346" s="52">
        <v>1</v>
      </c>
      <c r="C346" s="48">
        <v>14000</v>
      </c>
      <c r="D346" s="48">
        <f>C346*B346</f>
        <v>14000</v>
      </c>
      <c r="E346" s="50"/>
      <c r="F346" s="51">
        <v>45771</v>
      </c>
      <c r="I346" s="139"/>
      <c r="J346" s="150"/>
    </row>
    <row r="347" spans="1:10" x14ac:dyDescent="0.2">
      <c r="A347" s="52" t="s">
        <v>29</v>
      </c>
      <c r="B347" s="52">
        <v>25</v>
      </c>
      <c r="C347" s="48"/>
      <c r="D347" s="48"/>
      <c r="E347" s="50"/>
      <c r="F347" s="51">
        <v>45771</v>
      </c>
      <c r="I347" s="139"/>
      <c r="J347" s="150"/>
    </row>
    <row r="348" spans="1:10" x14ac:dyDescent="0.2">
      <c r="A348" s="52" t="s">
        <v>342</v>
      </c>
      <c r="B348" s="52">
        <v>1</v>
      </c>
      <c r="C348" s="48">
        <v>2100</v>
      </c>
      <c r="D348" s="48">
        <f>C348*B348</f>
        <v>2100</v>
      </c>
      <c r="E348" s="50"/>
      <c r="F348" s="51">
        <v>45787</v>
      </c>
      <c r="I348" s="139"/>
      <c r="J348" s="150"/>
    </row>
    <row r="349" spans="1:10" x14ac:dyDescent="0.2">
      <c r="A349" s="52" t="s">
        <v>343</v>
      </c>
      <c r="B349" s="52">
        <v>1</v>
      </c>
      <c r="C349" s="48">
        <v>1000</v>
      </c>
      <c r="D349" s="48">
        <f>C349*B349</f>
        <v>1000</v>
      </c>
      <c r="E349" s="50"/>
      <c r="F349" s="51">
        <v>45787</v>
      </c>
      <c r="I349" s="139"/>
      <c r="J349" s="150"/>
    </row>
    <row r="350" spans="1:10" x14ac:dyDescent="0.2">
      <c r="A350" s="52" t="s">
        <v>344</v>
      </c>
      <c r="B350" s="52">
        <v>1</v>
      </c>
      <c r="C350" s="48">
        <v>8500</v>
      </c>
      <c r="D350" s="48">
        <f>C350*B350</f>
        <v>8500</v>
      </c>
      <c r="E350" s="50"/>
      <c r="F350" s="51">
        <v>45794</v>
      </c>
      <c r="I350" s="139"/>
      <c r="J350" s="150"/>
    </row>
    <row r="351" spans="1:10" x14ac:dyDescent="0.2">
      <c r="A351" s="52"/>
      <c r="B351" s="52"/>
      <c r="C351" s="48"/>
      <c r="D351" s="48"/>
      <c r="E351" s="50"/>
      <c r="F351" s="52"/>
      <c r="I351" s="139"/>
      <c r="J351" s="150"/>
    </row>
    <row r="352" spans="1:10" x14ac:dyDescent="0.2">
      <c r="A352" s="52"/>
      <c r="B352" s="52"/>
      <c r="C352" s="48"/>
      <c r="D352" s="48"/>
      <c r="E352" s="50"/>
      <c r="F352" s="52"/>
      <c r="I352" s="139"/>
      <c r="J352" s="150"/>
    </row>
    <row r="353" spans="1:16" x14ac:dyDescent="0.2">
      <c r="A353" s="52"/>
      <c r="B353" s="52"/>
      <c r="C353" s="48">
        <f>SUM(D265:D327)</f>
        <v>369010</v>
      </c>
      <c r="D353" s="48">
        <f>SUM(D331:D346)</f>
        <v>596800</v>
      </c>
      <c r="E353" s="50"/>
      <c r="F353" s="52"/>
      <c r="I353" s="139"/>
      <c r="J353" s="150"/>
    </row>
    <row r="354" spans="1:16" x14ac:dyDescent="0.2">
      <c r="A354" s="52"/>
      <c r="B354" s="52"/>
      <c r="C354" s="48"/>
      <c r="D354" s="48"/>
      <c r="E354" s="50"/>
      <c r="F354" s="52"/>
      <c r="I354" s="139"/>
      <c r="J354" s="150"/>
    </row>
    <row r="355" spans="1:16" x14ac:dyDescent="0.2">
      <c r="A355" s="52"/>
      <c r="B355" s="52"/>
      <c r="C355" s="48"/>
      <c r="D355" s="48"/>
      <c r="E355" s="50"/>
      <c r="F355" s="52"/>
      <c r="I355" s="139"/>
      <c r="J355" s="150"/>
    </row>
    <row r="356" spans="1:16" x14ac:dyDescent="0.2">
      <c r="A356" s="52"/>
      <c r="B356" s="52"/>
      <c r="C356" s="48"/>
      <c r="D356" s="48"/>
      <c r="E356" s="50"/>
      <c r="F356" s="52"/>
      <c r="I356" s="139"/>
      <c r="J356" s="150"/>
    </row>
    <row r="357" spans="1:16" x14ac:dyDescent="0.2">
      <c r="A357" s="52"/>
      <c r="B357" s="52"/>
      <c r="C357" s="48">
        <f>SUM(D353+C353)</f>
        <v>965810</v>
      </c>
      <c r="D357" s="48"/>
      <c r="E357" s="50"/>
      <c r="F357" s="52"/>
      <c r="I357" s="139"/>
      <c r="J357" s="150"/>
    </row>
    <row r="358" spans="1:16" x14ac:dyDescent="0.2">
      <c r="A358" s="52"/>
      <c r="B358" s="52"/>
      <c r="C358" s="48"/>
      <c r="D358" s="48"/>
      <c r="E358" s="50"/>
      <c r="F358" s="52"/>
      <c r="I358" s="139"/>
      <c r="J358" s="150"/>
    </row>
    <row r="359" spans="1:16" x14ac:dyDescent="0.2">
      <c r="A359" s="52"/>
      <c r="B359" s="52"/>
      <c r="C359" s="48"/>
      <c r="D359" s="48"/>
      <c r="E359" s="50"/>
      <c r="F359" s="52"/>
      <c r="I359" s="139"/>
      <c r="J359" s="150"/>
    </row>
    <row r="360" spans="1:16" x14ac:dyDescent="0.2">
      <c r="A360" s="52"/>
      <c r="B360" s="52"/>
      <c r="C360" s="48"/>
      <c r="D360" s="48"/>
      <c r="E360" s="50"/>
      <c r="F360" s="52"/>
      <c r="I360" s="139"/>
      <c r="J360" s="150"/>
    </row>
    <row r="361" spans="1:16" x14ac:dyDescent="0.2">
      <c r="A361" s="52"/>
      <c r="B361" s="52"/>
      <c r="C361" s="48"/>
      <c r="D361" s="48"/>
      <c r="E361" s="50"/>
      <c r="F361" s="52"/>
      <c r="I361" s="139"/>
      <c r="J361" s="150"/>
    </row>
    <row r="362" spans="1:16" x14ac:dyDescent="0.2">
      <c r="A362" s="52"/>
      <c r="B362" s="52"/>
      <c r="C362" s="48"/>
      <c r="D362" s="48"/>
      <c r="E362" s="50"/>
      <c r="F362" s="52"/>
    </row>
    <row r="363" spans="1:16" x14ac:dyDescent="0.2">
      <c r="A363" s="52"/>
      <c r="B363" s="52"/>
      <c r="C363" s="48"/>
      <c r="D363" s="48"/>
      <c r="E363" s="50"/>
      <c r="F363" s="52"/>
      <c r="M363" t="s">
        <v>345</v>
      </c>
    </row>
    <row r="364" spans="1:16" x14ac:dyDescent="0.2">
      <c r="A364" s="151" t="s">
        <v>18</v>
      </c>
      <c r="B364" s="151"/>
      <c r="C364" s="152"/>
      <c r="D364" s="152">
        <f>SUM(D7:D363)</f>
        <v>3458385</v>
      </c>
      <c r="E364" s="153">
        <f>SUM(E7:E363)</f>
        <v>7667.1132897603475</v>
      </c>
      <c r="F364" s="161"/>
    </row>
    <row r="365" spans="1:16" x14ac:dyDescent="0.2">
      <c r="A365" s="154"/>
      <c r="B365" s="155"/>
      <c r="C365" s="155"/>
      <c r="D365" s="156"/>
      <c r="E365" s="155"/>
      <c r="F365" s="162"/>
      <c r="P365" t="s">
        <v>346</v>
      </c>
    </row>
    <row r="366" spans="1:16" x14ac:dyDescent="0.2">
      <c r="A366" s="71" t="s">
        <v>347</v>
      </c>
      <c r="B366" s="157"/>
      <c r="C366" s="157"/>
      <c r="D366" s="157"/>
      <c r="E366" s="157"/>
      <c r="F366" s="163"/>
      <c r="G366" t="s">
        <v>348</v>
      </c>
      <c r="I366" s="53">
        <v>337500</v>
      </c>
      <c r="J366" s="142">
        <v>5000</v>
      </c>
      <c r="K366" t="s">
        <v>349</v>
      </c>
      <c r="M366" t="s">
        <v>350</v>
      </c>
      <c r="O366" s="53">
        <v>83200</v>
      </c>
    </row>
    <row r="368" spans="1:16" x14ac:dyDescent="0.2">
      <c r="G368" t="s">
        <v>351</v>
      </c>
      <c r="I368" s="133">
        <v>130000</v>
      </c>
      <c r="J368" s="142">
        <v>2000</v>
      </c>
      <c r="K368" t="s">
        <v>349</v>
      </c>
      <c r="M368" t="s">
        <v>352</v>
      </c>
    </row>
    <row r="369" spans="1:16" x14ac:dyDescent="0.2">
      <c r="I369" s="140"/>
    </row>
    <row r="370" spans="1:16" x14ac:dyDescent="0.2">
      <c r="G370" t="s">
        <v>353</v>
      </c>
      <c r="I370" s="133">
        <v>136000</v>
      </c>
      <c r="J370" s="142">
        <v>2000</v>
      </c>
      <c r="K370" t="s">
        <v>354</v>
      </c>
    </row>
    <row r="371" spans="1:16" x14ac:dyDescent="0.2">
      <c r="I371" s="140"/>
      <c r="J371" s="139"/>
    </row>
    <row r="372" spans="1:16" x14ac:dyDescent="0.2">
      <c r="G372" t="s">
        <v>355</v>
      </c>
      <c r="I372" s="133">
        <v>136400</v>
      </c>
      <c r="J372" s="142">
        <v>2000</v>
      </c>
      <c r="K372" t="s">
        <v>356</v>
      </c>
    </row>
    <row r="373" spans="1:16" x14ac:dyDescent="0.2">
      <c r="I373" s="140"/>
      <c r="J373" s="139"/>
    </row>
    <row r="374" spans="1:16" x14ac:dyDescent="0.2">
      <c r="A374">
        <f>SUM(B267+B285+B294+B312)</f>
        <v>625</v>
      </c>
      <c r="G374" t="s">
        <v>357</v>
      </c>
      <c r="I374" s="133">
        <v>206400</v>
      </c>
      <c r="J374" s="142">
        <v>3000</v>
      </c>
      <c r="K374" t="s">
        <v>358</v>
      </c>
    </row>
    <row r="375" spans="1:16" x14ac:dyDescent="0.2">
      <c r="I375" s="140"/>
      <c r="J375" s="145"/>
    </row>
    <row r="376" spans="1:16" x14ac:dyDescent="0.2">
      <c r="G376" t="s">
        <v>359</v>
      </c>
      <c r="I376" s="133">
        <f>J376*69.7</f>
        <v>209100</v>
      </c>
      <c r="J376" s="142">
        <v>3000</v>
      </c>
      <c r="K376" t="s">
        <v>360</v>
      </c>
    </row>
    <row r="377" spans="1:16" x14ac:dyDescent="0.2">
      <c r="I377" s="140"/>
      <c r="J377" s="145"/>
    </row>
    <row r="378" spans="1:16" x14ac:dyDescent="0.2">
      <c r="G378" t="s">
        <v>361</v>
      </c>
      <c r="I378" s="133">
        <f>J378*69.25</f>
        <v>207750</v>
      </c>
      <c r="J378" s="142">
        <v>3000</v>
      </c>
      <c r="K378" t="s">
        <v>362</v>
      </c>
    </row>
    <row r="379" spans="1:16" x14ac:dyDescent="0.2">
      <c r="I379" s="140"/>
      <c r="J379" s="145"/>
    </row>
    <row r="380" spans="1:16" x14ac:dyDescent="0.2">
      <c r="G380" t="s">
        <v>363</v>
      </c>
      <c r="I380" s="133">
        <f>J380*71</f>
        <v>213000</v>
      </c>
      <c r="J380" s="142">
        <v>3000</v>
      </c>
      <c r="K380" t="s">
        <v>364</v>
      </c>
    </row>
    <row r="381" spans="1:16" x14ac:dyDescent="0.2">
      <c r="I381" s="140"/>
      <c r="J381" s="145"/>
    </row>
    <row r="382" spans="1:16" x14ac:dyDescent="0.2">
      <c r="G382" t="s">
        <v>365</v>
      </c>
      <c r="I382" s="133">
        <f>J382*71.2</f>
        <v>142400</v>
      </c>
      <c r="J382" s="142">
        <v>2000</v>
      </c>
      <c r="K382" t="s">
        <v>366</v>
      </c>
    </row>
    <row r="383" spans="1:16" x14ac:dyDescent="0.2">
      <c r="G383" s="167"/>
      <c r="H383" s="271"/>
      <c r="I383" s="165"/>
      <c r="J383" s="166"/>
      <c r="K383" s="167"/>
      <c r="L383" s="167"/>
      <c r="M383" s="167"/>
      <c r="N383" s="167"/>
      <c r="O383" s="167"/>
      <c r="P383" s="167"/>
    </row>
    <row r="384" spans="1:16" x14ac:dyDescent="0.2">
      <c r="G384" t="s">
        <v>367</v>
      </c>
      <c r="I384" s="133">
        <v>6500</v>
      </c>
      <c r="J384" s="168">
        <v>97.38</v>
      </c>
      <c r="K384" t="s">
        <v>368</v>
      </c>
    </row>
    <row r="385" spans="7:14" x14ac:dyDescent="0.2">
      <c r="G385" s="167"/>
      <c r="H385" s="271"/>
      <c r="I385" s="165"/>
      <c r="J385" s="166"/>
      <c r="K385" s="167"/>
      <c r="L385" s="167"/>
      <c r="M385" s="167"/>
      <c r="N385" s="167"/>
    </row>
    <row r="386" spans="7:14" x14ac:dyDescent="0.2">
      <c r="G386" t="s">
        <v>369</v>
      </c>
      <c r="I386" s="133">
        <v>7000</v>
      </c>
      <c r="J386" s="142">
        <v>104.09</v>
      </c>
      <c r="K386" t="s">
        <v>370</v>
      </c>
    </row>
    <row r="387" spans="7:14" x14ac:dyDescent="0.2">
      <c r="G387" s="167"/>
      <c r="H387" s="271"/>
      <c r="I387" s="165"/>
      <c r="J387" s="166"/>
      <c r="K387" s="167"/>
    </row>
    <row r="388" spans="7:14" x14ac:dyDescent="0.2">
      <c r="G388" t="s">
        <v>371</v>
      </c>
      <c r="I388" s="133">
        <v>5000</v>
      </c>
      <c r="J388" s="168">
        <v>74.349999999999994</v>
      </c>
      <c r="K388" t="s">
        <v>370</v>
      </c>
    </row>
    <row r="389" spans="7:14" x14ac:dyDescent="0.2">
      <c r="G389" s="167"/>
      <c r="H389" s="271"/>
      <c r="I389" s="165"/>
      <c r="J389" s="166"/>
      <c r="K389" s="167"/>
      <c r="L389" s="167"/>
      <c r="M389" s="167"/>
      <c r="N389" s="167"/>
    </row>
    <row r="390" spans="7:14" x14ac:dyDescent="0.2">
      <c r="G390" t="s">
        <v>372</v>
      </c>
      <c r="I390" s="133">
        <v>5000</v>
      </c>
      <c r="J390" s="168">
        <v>74.349999999999994</v>
      </c>
      <c r="K390" t="s">
        <v>370</v>
      </c>
    </row>
    <row r="391" spans="7:14" x14ac:dyDescent="0.2">
      <c r="I391" s="165"/>
      <c r="J391" s="166"/>
    </row>
    <row r="392" spans="7:14" x14ac:dyDescent="0.2">
      <c r="G392" t="s">
        <v>373</v>
      </c>
      <c r="I392" s="133">
        <v>144500</v>
      </c>
      <c r="J392" s="142">
        <v>2000</v>
      </c>
      <c r="K392" t="s">
        <v>374</v>
      </c>
    </row>
    <row r="393" spans="7:14" x14ac:dyDescent="0.2">
      <c r="I393" s="165"/>
      <c r="J393" s="166"/>
    </row>
    <row r="394" spans="7:14" x14ac:dyDescent="0.2">
      <c r="G394" t="s">
        <v>375</v>
      </c>
      <c r="I394" s="133">
        <v>145000</v>
      </c>
      <c r="J394" s="142">
        <v>2000</v>
      </c>
      <c r="K394" t="s">
        <v>376</v>
      </c>
    </row>
    <row r="395" spans="7:14" x14ac:dyDescent="0.2">
      <c r="I395" s="165"/>
      <c r="J395" s="166"/>
    </row>
    <row r="396" spans="7:14" x14ac:dyDescent="0.2">
      <c r="G396" t="s">
        <v>377</v>
      </c>
      <c r="I396" s="133">
        <v>145200</v>
      </c>
      <c r="J396" s="142">
        <v>2000</v>
      </c>
      <c r="K396" t="s">
        <v>378</v>
      </c>
    </row>
    <row r="397" spans="7:14" x14ac:dyDescent="0.2">
      <c r="I397" s="165"/>
      <c r="J397" s="166"/>
    </row>
    <row r="398" spans="7:14" x14ac:dyDescent="0.2">
      <c r="G398" t="s">
        <v>379</v>
      </c>
      <c r="I398" s="133">
        <v>40000</v>
      </c>
      <c r="J398" s="142">
        <v>549.07000000000005</v>
      </c>
      <c r="K398" t="s">
        <v>380</v>
      </c>
    </row>
    <row r="399" spans="7:14" x14ac:dyDescent="0.2">
      <c r="I399" s="165"/>
      <c r="J399" s="166"/>
    </row>
    <row r="400" spans="7:14" x14ac:dyDescent="0.2">
      <c r="G400" t="s">
        <v>381</v>
      </c>
      <c r="I400" s="133">
        <v>7400</v>
      </c>
      <c r="J400" s="142">
        <v>101.58</v>
      </c>
      <c r="K400" t="s">
        <v>380</v>
      </c>
    </row>
    <row r="401" spans="7:12" x14ac:dyDescent="0.2">
      <c r="I401" s="165"/>
      <c r="J401" s="166"/>
    </row>
    <row r="402" spans="7:12" x14ac:dyDescent="0.2">
      <c r="G402" t="s">
        <v>382</v>
      </c>
      <c r="I402" s="133">
        <f>J402*72.25</f>
        <v>144500</v>
      </c>
      <c r="J402" s="142">
        <v>2000</v>
      </c>
      <c r="K402" t="s">
        <v>374</v>
      </c>
    </row>
    <row r="404" spans="7:12" x14ac:dyDescent="0.2">
      <c r="G404" t="s">
        <v>383</v>
      </c>
      <c r="I404" s="141">
        <f>SUM(I366+I368+I370+I372+I374+I376+I378+I380+I382+I384+I386+I388+I390+I392+I394+I396+I398+I400+I402)</f>
        <v>2368650</v>
      </c>
      <c r="J404" s="143">
        <f>SUM(J366+J368+J370+J372+J374+J376+J378+J380+J382+J384+J386+J388+J390+J392+J394)</f>
        <v>29350.17</v>
      </c>
    </row>
    <row r="405" spans="7:12" x14ac:dyDescent="0.2">
      <c r="I405" s="20"/>
    </row>
    <row r="406" spans="7:12" x14ac:dyDescent="0.2">
      <c r="G406" t="s">
        <v>384</v>
      </c>
      <c r="I406" s="20"/>
      <c r="J406" s="144">
        <f>I404-D364</f>
        <v>-1089735</v>
      </c>
      <c r="L406" s="20" t="s">
        <v>385</v>
      </c>
    </row>
    <row r="408" spans="7:12" x14ac:dyDescent="0.2">
      <c r="G408" t="s">
        <v>386</v>
      </c>
      <c r="J408" s="146">
        <f>110575+I376+I378+I380+I382+I384+I386+I388+I390+I392+I394+I396+I398+I400+I402</f>
        <v>1532925</v>
      </c>
    </row>
    <row r="409" spans="7:12" x14ac:dyDescent="0.2">
      <c r="J409" s="140"/>
    </row>
    <row r="410" spans="7:12" x14ac:dyDescent="0.2">
      <c r="G410" t="s">
        <v>387</v>
      </c>
      <c r="J410" s="147">
        <f>SUM(D111:D327)</f>
        <v>1417460</v>
      </c>
    </row>
    <row r="412" spans="7:12" x14ac:dyDescent="0.2">
      <c r="G412" t="s">
        <v>388</v>
      </c>
      <c r="J412" s="137">
        <f>J408-J410</f>
        <v>115465</v>
      </c>
    </row>
    <row r="418" spans="2:10" x14ac:dyDescent="0.2">
      <c r="B418" t="s">
        <v>389</v>
      </c>
    </row>
    <row r="419" spans="2:10" x14ac:dyDescent="0.2">
      <c r="J419" s="20">
        <f>J412-C348-C349-C350</f>
        <v>103865</v>
      </c>
    </row>
    <row r="583" spans="3:3" x14ac:dyDescent="0.2">
      <c r="C583" s="148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EDAB-5036-4334-AB4F-25FF038F0CFD}">
  <dimension ref="A4:F38"/>
  <sheetViews>
    <sheetView workbookViewId="0">
      <selection activeCell="K24" sqref="K24"/>
    </sheetView>
  </sheetViews>
  <sheetFormatPr defaultRowHeight="15" x14ac:dyDescent="0.2"/>
  <cols>
    <col min="1" max="1" width="23.26953125" customWidth="1"/>
    <col min="2" max="2" width="22.1953125" customWidth="1"/>
    <col min="3" max="3" width="18.29296875" customWidth="1"/>
    <col min="4" max="4" width="20.3125" customWidth="1"/>
    <col min="5" max="5" width="19.234375" customWidth="1"/>
  </cols>
  <sheetData>
    <row r="4" spans="1:5" ht="21" x14ac:dyDescent="0.3">
      <c r="A4" s="170"/>
      <c r="B4" s="200" t="s">
        <v>390</v>
      </c>
      <c r="C4" s="173"/>
      <c r="D4" s="171"/>
      <c r="E4" s="174"/>
    </row>
    <row r="5" spans="1:5" ht="19.5" x14ac:dyDescent="0.2">
      <c r="A5" s="184" t="s">
        <v>2</v>
      </c>
      <c r="B5" s="184" t="s">
        <v>22</v>
      </c>
      <c r="C5" s="185" t="s">
        <v>23</v>
      </c>
      <c r="D5" s="185" t="s">
        <v>24</v>
      </c>
      <c r="E5" s="186" t="s">
        <v>120</v>
      </c>
    </row>
    <row r="6" spans="1:5" x14ac:dyDescent="0.2">
      <c r="A6" s="203" t="s">
        <v>391</v>
      </c>
      <c r="B6" s="175">
        <v>1</v>
      </c>
      <c r="C6" s="176">
        <v>3500</v>
      </c>
      <c r="D6" s="176">
        <f>C6*B6</f>
        <v>3500</v>
      </c>
      <c r="E6" s="177">
        <v>45761</v>
      </c>
    </row>
    <row r="7" spans="1:5" x14ac:dyDescent="0.2">
      <c r="A7" s="204" t="s">
        <v>392</v>
      </c>
      <c r="B7" s="178">
        <v>1</v>
      </c>
      <c r="C7" s="179">
        <v>600</v>
      </c>
      <c r="D7" s="179">
        <f>C7*B7</f>
        <v>600</v>
      </c>
      <c r="E7" s="180">
        <v>45762</v>
      </c>
    </row>
    <row r="8" spans="1:5" x14ac:dyDescent="0.2">
      <c r="A8" s="175" t="s">
        <v>29</v>
      </c>
      <c r="B8" s="175">
        <v>25</v>
      </c>
      <c r="C8" s="176">
        <v>390</v>
      </c>
      <c r="D8" s="176">
        <f>C8*B8</f>
        <v>9750</v>
      </c>
      <c r="E8" s="177">
        <v>45763</v>
      </c>
    </row>
    <row r="9" spans="1:5" x14ac:dyDescent="0.2">
      <c r="A9" s="175" t="s">
        <v>30</v>
      </c>
      <c r="B9" s="175">
        <v>25</v>
      </c>
      <c r="C9" s="176">
        <v>20</v>
      </c>
      <c r="D9" s="176">
        <f>C9*B9</f>
        <v>500</v>
      </c>
      <c r="E9" s="177">
        <v>45763</v>
      </c>
    </row>
    <row r="10" spans="1:5" x14ac:dyDescent="0.2">
      <c r="A10" s="175"/>
      <c r="B10" s="175"/>
      <c r="C10" s="176"/>
      <c r="D10" s="176"/>
      <c r="E10" s="177"/>
    </row>
    <row r="11" spans="1:5" x14ac:dyDescent="0.2">
      <c r="A11" s="181" t="s">
        <v>393</v>
      </c>
      <c r="B11" s="181">
        <v>1</v>
      </c>
      <c r="C11" s="182">
        <v>8000</v>
      </c>
      <c r="D11" s="182">
        <v>8000</v>
      </c>
      <c r="E11" s="183">
        <v>45766</v>
      </c>
    </row>
    <row r="12" spans="1:5" x14ac:dyDescent="0.2">
      <c r="A12" s="181" t="s">
        <v>394</v>
      </c>
      <c r="B12" s="181">
        <v>1</v>
      </c>
      <c r="C12" s="181">
        <v>80</v>
      </c>
      <c r="D12" s="181">
        <v>80</v>
      </c>
      <c r="E12" s="183">
        <v>45766</v>
      </c>
    </row>
    <row r="13" spans="1:5" x14ac:dyDescent="0.2">
      <c r="A13" s="181" t="s">
        <v>395</v>
      </c>
      <c r="B13" s="181">
        <v>1</v>
      </c>
      <c r="C13" s="181">
        <v>400</v>
      </c>
      <c r="D13" s="181">
        <v>400</v>
      </c>
      <c r="E13" s="183">
        <v>45768</v>
      </c>
    </row>
    <row r="14" spans="1:5" x14ac:dyDescent="0.2">
      <c r="A14" s="178" t="s">
        <v>393</v>
      </c>
      <c r="B14" s="178">
        <v>1</v>
      </c>
      <c r="C14" s="179">
        <v>8000</v>
      </c>
      <c r="D14" s="179">
        <f>C14*B14</f>
        <v>8000</v>
      </c>
      <c r="E14" s="180">
        <v>45769</v>
      </c>
    </row>
    <row r="15" spans="1:5" x14ac:dyDescent="0.2">
      <c r="A15" s="204" t="s">
        <v>396</v>
      </c>
      <c r="B15" s="178">
        <v>1</v>
      </c>
      <c r="C15" s="179">
        <v>1300</v>
      </c>
      <c r="D15" s="179">
        <f>C15*B15</f>
        <v>1300</v>
      </c>
      <c r="E15" s="180">
        <v>45781</v>
      </c>
    </row>
    <row r="16" spans="1:5" x14ac:dyDescent="0.2">
      <c r="A16" s="175"/>
      <c r="B16" s="175"/>
      <c r="C16" s="176"/>
      <c r="D16" s="176"/>
      <c r="E16" s="177"/>
    </row>
    <row r="17" spans="1:5" x14ac:dyDescent="0.2">
      <c r="A17" s="175" t="s">
        <v>397</v>
      </c>
      <c r="B17" s="175">
        <v>1</v>
      </c>
      <c r="C17" s="176">
        <v>1600</v>
      </c>
      <c r="D17" s="176">
        <f>C17*B17</f>
        <v>1600</v>
      </c>
      <c r="E17" s="177">
        <v>45766</v>
      </c>
    </row>
    <row r="18" spans="1:5" x14ac:dyDescent="0.2">
      <c r="A18" s="190"/>
      <c r="B18" s="190"/>
      <c r="C18" s="191"/>
      <c r="D18" s="191"/>
      <c r="E18" s="192"/>
    </row>
    <row r="19" spans="1:5" x14ac:dyDescent="0.2">
      <c r="A19" s="187" t="s">
        <v>29</v>
      </c>
      <c r="B19" s="187">
        <v>150</v>
      </c>
      <c r="C19" s="188">
        <v>465</v>
      </c>
      <c r="D19" s="188">
        <f>C19*B19</f>
        <v>69750</v>
      </c>
      <c r="E19" s="189">
        <v>45846</v>
      </c>
    </row>
    <row r="20" spans="1:5" x14ac:dyDescent="0.2">
      <c r="A20" s="187" t="s">
        <v>30</v>
      </c>
      <c r="B20" s="187">
        <v>150</v>
      </c>
      <c r="C20" s="188">
        <v>20</v>
      </c>
      <c r="D20" s="188">
        <f>C20*B20</f>
        <v>3000</v>
      </c>
      <c r="E20" s="189">
        <v>45846</v>
      </c>
    </row>
    <row r="21" spans="1:5" x14ac:dyDescent="0.2">
      <c r="A21" s="187" t="s">
        <v>398</v>
      </c>
      <c r="B21" s="187">
        <v>1</v>
      </c>
      <c r="C21" s="188">
        <v>8000</v>
      </c>
      <c r="D21" s="188">
        <f>C21*B21</f>
        <v>8000</v>
      </c>
      <c r="E21" s="189">
        <v>45846</v>
      </c>
    </row>
    <row r="22" spans="1:5" x14ac:dyDescent="0.2">
      <c r="A22" s="187" t="s">
        <v>398</v>
      </c>
      <c r="B22" s="187">
        <v>1</v>
      </c>
      <c r="C22" s="188">
        <v>8000</v>
      </c>
      <c r="D22" s="188">
        <f>C22*B22</f>
        <v>8000</v>
      </c>
      <c r="E22" s="189">
        <v>45854</v>
      </c>
    </row>
    <row r="23" spans="1:5" x14ac:dyDescent="0.2">
      <c r="A23" s="187" t="s">
        <v>399</v>
      </c>
      <c r="B23" s="187">
        <v>1</v>
      </c>
      <c r="C23" s="188">
        <v>400</v>
      </c>
      <c r="D23" s="188">
        <f>C23*B23</f>
        <v>400</v>
      </c>
      <c r="E23" s="189">
        <v>45855</v>
      </c>
    </row>
    <row r="24" spans="1:5" x14ac:dyDescent="0.2">
      <c r="A24" s="187" t="s">
        <v>400</v>
      </c>
      <c r="B24" s="187">
        <v>1</v>
      </c>
      <c r="C24" s="188">
        <v>700</v>
      </c>
      <c r="D24" s="188">
        <f>C24*B24</f>
        <v>700</v>
      </c>
      <c r="E24" s="189">
        <v>45855</v>
      </c>
    </row>
    <row r="25" spans="1:5" x14ac:dyDescent="0.2">
      <c r="A25" s="187" t="s">
        <v>145</v>
      </c>
      <c r="B25" s="187">
        <v>1</v>
      </c>
      <c r="C25" s="188">
        <v>100</v>
      </c>
      <c r="D25" s="188">
        <f>C25*B25</f>
        <v>100</v>
      </c>
      <c r="E25" s="189">
        <v>45855</v>
      </c>
    </row>
    <row r="26" spans="1:5" x14ac:dyDescent="0.2">
      <c r="A26" s="187" t="s">
        <v>398</v>
      </c>
      <c r="B26" s="187">
        <v>2</v>
      </c>
      <c r="C26" s="188">
        <v>8000</v>
      </c>
      <c r="D26" s="188">
        <f>C26*B26</f>
        <v>16000</v>
      </c>
      <c r="E26" s="189">
        <v>45859</v>
      </c>
    </row>
    <row r="27" spans="1:5" x14ac:dyDescent="0.2">
      <c r="A27" s="187" t="s">
        <v>399</v>
      </c>
      <c r="B27" s="187">
        <v>1</v>
      </c>
      <c r="C27" s="188">
        <v>150</v>
      </c>
      <c r="D27" s="188">
        <f>C27*B27</f>
        <v>150</v>
      </c>
      <c r="E27" s="189">
        <v>45860</v>
      </c>
    </row>
    <row r="28" spans="1:5" x14ac:dyDescent="0.2">
      <c r="A28" s="187" t="s">
        <v>401</v>
      </c>
      <c r="B28" s="187">
        <v>1</v>
      </c>
      <c r="C28" s="188">
        <v>2350</v>
      </c>
      <c r="D28" s="188">
        <f>C28*B28</f>
        <v>2350</v>
      </c>
      <c r="E28" s="189">
        <v>45861</v>
      </c>
    </row>
    <row r="29" spans="1:5" x14ac:dyDescent="0.2">
      <c r="A29" s="187" t="s">
        <v>402</v>
      </c>
      <c r="B29" s="187">
        <v>1</v>
      </c>
      <c r="C29" s="188">
        <v>3500</v>
      </c>
      <c r="D29" s="188">
        <f>C29*B29</f>
        <v>3500</v>
      </c>
      <c r="E29" s="189">
        <v>45861</v>
      </c>
    </row>
    <row r="30" spans="1:5" x14ac:dyDescent="0.2">
      <c r="A30" s="187" t="s">
        <v>403</v>
      </c>
      <c r="B30" s="187">
        <v>1</v>
      </c>
      <c r="C30" s="188">
        <v>500</v>
      </c>
      <c r="D30" s="188">
        <f>C30*B30</f>
        <v>500</v>
      </c>
      <c r="E30" s="189">
        <v>45863</v>
      </c>
    </row>
    <row r="31" spans="1:5" x14ac:dyDescent="0.2">
      <c r="A31" s="187" t="s">
        <v>398</v>
      </c>
      <c r="B31" s="187">
        <v>2</v>
      </c>
      <c r="C31" s="188">
        <v>8000</v>
      </c>
      <c r="D31" s="188">
        <f>C31*B31</f>
        <v>16000</v>
      </c>
      <c r="E31" s="189">
        <v>45864</v>
      </c>
    </row>
    <row r="32" spans="1:5" x14ac:dyDescent="0.2">
      <c r="A32" s="187" t="s">
        <v>29</v>
      </c>
      <c r="B32" s="187">
        <v>50</v>
      </c>
      <c r="C32" s="188">
        <v>475</v>
      </c>
      <c r="D32" s="188">
        <f>C32*B32</f>
        <v>23750</v>
      </c>
      <c r="E32" s="189">
        <v>45868</v>
      </c>
    </row>
    <row r="33" spans="1:6" x14ac:dyDescent="0.2">
      <c r="A33" s="187" t="s">
        <v>30</v>
      </c>
      <c r="B33" s="187">
        <v>50</v>
      </c>
      <c r="C33" s="188">
        <v>25</v>
      </c>
      <c r="D33" s="188">
        <f>C33*B33</f>
        <v>1250</v>
      </c>
      <c r="E33" s="189">
        <v>45868</v>
      </c>
    </row>
    <row r="34" spans="1:6" x14ac:dyDescent="0.2">
      <c r="A34" s="187" t="s">
        <v>404</v>
      </c>
      <c r="B34" s="187">
        <v>5000</v>
      </c>
      <c r="C34" s="188">
        <v>7</v>
      </c>
      <c r="D34" s="188">
        <f>C34*B34</f>
        <v>35000</v>
      </c>
      <c r="E34" s="189">
        <v>45874</v>
      </c>
    </row>
    <row r="35" spans="1:6" x14ac:dyDescent="0.2">
      <c r="A35" s="196" t="s">
        <v>405</v>
      </c>
      <c r="B35" s="196">
        <v>1</v>
      </c>
      <c r="C35" s="197">
        <v>1000</v>
      </c>
      <c r="D35" s="197">
        <f>C35*B35</f>
        <v>1000</v>
      </c>
      <c r="E35" s="198">
        <v>45874</v>
      </c>
    </row>
    <row r="36" spans="1:6" x14ac:dyDescent="0.2">
      <c r="A36" s="187" t="s">
        <v>406</v>
      </c>
      <c r="B36" s="187">
        <v>1</v>
      </c>
      <c r="C36" s="188">
        <v>3000</v>
      </c>
      <c r="D36" s="188">
        <f>C36*B36</f>
        <v>3000</v>
      </c>
      <c r="E36" s="189">
        <v>45894</v>
      </c>
    </row>
    <row r="37" spans="1:6" x14ac:dyDescent="0.2">
      <c r="A37" s="187"/>
      <c r="B37" s="187"/>
      <c r="C37" s="187"/>
      <c r="D37" s="187"/>
      <c r="E37" s="187"/>
    </row>
    <row r="38" spans="1:6" x14ac:dyDescent="0.2">
      <c r="A38" s="99" t="s">
        <v>18</v>
      </c>
      <c r="B38" s="99"/>
      <c r="C38" s="100"/>
      <c r="D38" s="100">
        <f>SUM(D6:D36)</f>
        <v>226180</v>
      </c>
      <c r="E38" s="101"/>
      <c r="F38" s="20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5073-3679-4741-9A08-73BBCB327D4F}">
  <dimension ref="A4:O95"/>
  <sheetViews>
    <sheetView zoomScaleNormal="100" zoomScaleSheetLayoutView="100" workbookViewId="0">
      <selection activeCell="B90" sqref="B90"/>
    </sheetView>
  </sheetViews>
  <sheetFormatPr defaultRowHeight="15" x14ac:dyDescent="0.2"/>
  <cols>
    <col min="1" max="1" width="27.7109375" customWidth="1"/>
    <col min="2" max="2" width="21.65625" customWidth="1"/>
    <col min="3" max="3" width="18.16015625" style="172" customWidth="1"/>
    <col min="4" max="4" width="18.0234375" style="172" customWidth="1"/>
    <col min="5" max="5" width="11.02734375" style="148" bestFit="1" customWidth="1"/>
    <col min="7" max="7" width="14.125" customWidth="1"/>
    <col min="9" max="9" width="10.22265625" bestFit="1" customWidth="1"/>
    <col min="10" max="10" width="10.89453125" customWidth="1"/>
    <col min="11" max="11" width="10.0859375" customWidth="1"/>
  </cols>
  <sheetData>
    <row r="4" spans="1:5" ht="21" x14ac:dyDescent="0.3">
      <c r="A4" s="170"/>
      <c r="B4" s="199" t="s">
        <v>407</v>
      </c>
      <c r="C4" s="173"/>
      <c r="D4" s="171"/>
      <c r="E4" s="174"/>
    </row>
    <row r="5" spans="1:5" ht="19.5" x14ac:dyDescent="0.25">
      <c r="A5" s="239" t="s">
        <v>2</v>
      </c>
      <c r="B5" s="237" t="s">
        <v>22</v>
      </c>
      <c r="C5" s="185" t="s">
        <v>23</v>
      </c>
      <c r="D5" s="233" t="s">
        <v>24</v>
      </c>
      <c r="E5" s="238" t="s">
        <v>120</v>
      </c>
    </row>
    <row r="6" spans="1:5" x14ac:dyDescent="0.2">
      <c r="A6" s="193" t="s">
        <v>408</v>
      </c>
      <c r="B6" s="193">
        <v>1</v>
      </c>
      <c r="C6" s="194">
        <v>400</v>
      </c>
      <c r="D6" s="194">
        <f>C6*B6</f>
        <v>400</v>
      </c>
      <c r="E6" s="195">
        <v>45897</v>
      </c>
    </row>
    <row r="7" spans="1:5" x14ac:dyDescent="0.2">
      <c r="A7" s="193" t="s">
        <v>409</v>
      </c>
      <c r="B7" s="193">
        <v>70</v>
      </c>
      <c r="C7" s="194">
        <v>550</v>
      </c>
      <c r="D7" s="194">
        <f>C7*B7</f>
        <v>38500</v>
      </c>
      <c r="E7" s="195">
        <v>45899</v>
      </c>
    </row>
    <row r="8" spans="1:5" x14ac:dyDescent="0.2">
      <c r="A8" s="193" t="s">
        <v>410</v>
      </c>
      <c r="B8" s="193">
        <v>40</v>
      </c>
      <c r="C8" s="194">
        <v>150</v>
      </c>
      <c r="D8" s="194">
        <f>C8*B8</f>
        <v>6000</v>
      </c>
      <c r="E8" s="195">
        <v>45899</v>
      </c>
    </row>
    <row r="9" spans="1:5" x14ac:dyDescent="0.2">
      <c r="A9" s="193" t="s">
        <v>411</v>
      </c>
      <c r="B9" s="193">
        <v>1</v>
      </c>
      <c r="C9" s="194">
        <v>2800</v>
      </c>
      <c r="D9" s="194">
        <f>C9*B9</f>
        <v>2800</v>
      </c>
      <c r="E9" s="195">
        <v>45899</v>
      </c>
    </row>
    <row r="10" spans="1:5" x14ac:dyDescent="0.2">
      <c r="A10" s="193" t="s">
        <v>429</v>
      </c>
      <c r="B10" s="193">
        <v>2</v>
      </c>
      <c r="C10" s="194">
        <v>500</v>
      </c>
      <c r="D10" s="194">
        <f>C10*B10</f>
        <v>1000</v>
      </c>
      <c r="E10" s="195">
        <v>45899</v>
      </c>
    </row>
    <row r="11" spans="1:5" x14ac:dyDescent="0.2">
      <c r="A11" s="193" t="s">
        <v>412</v>
      </c>
      <c r="B11" s="193">
        <v>1</v>
      </c>
      <c r="C11" s="194">
        <v>1000</v>
      </c>
      <c r="D11" s="194">
        <f>C11*B11</f>
        <v>1000</v>
      </c>
      <c r="E11" s="195">
        <v>45899</v>
      </c>
    </row>
    <row r="12" spans="1:5" x14ac:dyDescent="0.2">
      <c r="A12" s="193" t="s">
        <v>29</v>
      </c>
      <c r="B12" s="193">
        <v>50</v>
      </c>
      <c r="C12" s="194">
        <v>480</v>
      </c>
      <c r="D12" s="194">
        <f>C12*B12</f>
        <v>24000</v>
      </c>
      <c r="E12" s="195">
        <v>45899</v>
      </c>
    </row>
    <row r="13" spans="1:5" x14ac:dyDescent="0.2">
      <c r="A13" s="193" t="s">
        <v>30</v>
      </c>
      <c r="B13" s="193">
        <v>50</v>
      </c>
      <c r="C13" s="194">
        <v>20</v>
      </c>
      <c r="D13" s="194">
        <f>C13*B13</f>
        <v>1000</v>
      </c>
      <c r="E13" s="195">
        <v>45899</v>
      </c>
    </row>
    <row r="14" spans="1:5" x14ac:dyDescent="0.2">
      <c r="A14" s="193" t="s">
        <v>413</v>
      </c>
      <c r="B14" s="193">
        <v>1</v>
      </c>
      <c r="C14" s="194">
        <v>90000</v>
      </c>
      <c r="D14" s="194">
        <f>C14*B14</f>
        <v>90000</v>
      </c>
      <c r="E14" s="195">
        <v>45899</v>
      </c>
    </row>
    <row r="15" spans="1:5" x14ac:dyDescent="0.2">
      <c r="A15" s="193" t="s">
        <v>414</v>
      </c>
      <c r="B15" s="193">
        <v>1</v>
      </c>
      <c r="C15" s="194">
        <v>530</v>
      </c>
      <c r="D15" s="194">
        <f>C15*B15</f>
        <v>530</v>
      </c>
      <c r="E15" s="195">
        <v>45900</v>
      </c>
    </row>
    <row r="16" spans="1:5" x14ac:dyDescent="0.2">
      <c r="A16" s="193" t="s">
        <v>415</v>
      </c>
      <c r="B16" s="193">
        <v>1</v>
      </c>
      <c r="C16" s="194">
        <v>1200</v>
      </c>
      <c r="D16" s="194">
        <f>C16*B16</f>
        <v>1200</v>
      </c>
      <c r="E16" s="195">
        <v>45905</v>
      </c>
    </row>
    <row r="17" spans="1:6" x14ac:dyDescent="0.2">
      <c r="A17" s="193" t="s">
        <v>398</v>
      </c>
      <c r="B17" s="193">
        <v>1</v>
      </c>
      <c r="C17" s="194">
        <v>8300</v>
      </c>
      <c r="D17" s="194">
        <f>C17*B17</f>
        <v>8300</v>
      </c>
      <c r="E17" s="195">
        <v>45906</v>
      </c>
    </row>
    <row r="18" spans="1:6" x14ac:dyDescent="0.2">
      <c r="A18" s="232" t="s">
        <v>416</v>
      </c>
      <c r="B18" s="193">
        <v>1</v>
      </c>
      <c r="C18" s="194">
        <v>100000</v>
      </c>
      <c r="D18" s="194">
        <f>C18*B18</f>
        <v>100000</v>
      </c>
      <c r="E18" s="195">
        <v>45908</v>
      </c>
    </row>
    <row r="19" spans="1:6" x14ac:dyDescent="0.2">
      <c r="A19" s="193" t="s">
        <v>29</v>
      </c>
      <c r="B19" s="193">
        <v>50</v>
      </c>
      <c r="C19" s="194">
        <v>480</v>
      </c>
      <c r="D19" s="194">
        <f>C19*B19</f>
        <v>24000</v>
      </c>
      <c r="E19" s="195">
        <v>45910</v>
      </c>
    </row>
    <row r="20" spans="1:6" x14ac:dyDescent="0.2">
      <c r="A20" s="193" t="s">
        <v>30</v>
      </c>
      <c r="B20" s="193">
        <v>50</v>
      </c>
      <c r="C20" s="194">
        <v>20</v>
      </c>
      <c r="D20" s="194">
        <f>C20*B20</f>
        <v>1000</v>
      </c>
      <c r="E20" s="195">
        <v>45910</v>
      </c>
      <c r="F20" t="s">
        <v>432</v>
      </c>
    </row>
    <row r="21" spans="1:6" x14ac:dyDescent="0.2">
      <c r="A21" s="226" t="s">
        <v>121</v>
      </c>
      <c r="B21" s="226">
        <v>40</v>
      </c>
      <c r="C21" s="227">
        <v>100</v>
      </c>
      <c r="D21" s="227">
        <f>C21*B21</f>
        <v>4000</v>
      </c>
      <c r="E21" s="228">
        <v>45913</v>
      </c>
    </row>
    <row r="22" spans="1:6" x14ac:dyDescent="0.2">
      <c r="A22" s="226" t="s">
        <v>440</v>
      </c>
      <c r="B22" s="226">
        <v>1</v>
      </c>
      <c r="C22" s="227">
        <v>650</v>
      </c>
      <c r="D22" s="227">
        <f>C22*B22</f>
        <v>650</v>
      </c>
      <c r="E22" s="228">
        <v>45913</v>
      </c>
    </row>
    <row r="23" spans="1:6" x14ac:dyDescent="0.2">
      <c r="A23" s="226" t="s">
        <v>412</v>
      </c>
      <c r="B23" s="226">
        <v>1</v>
      </c>
      <c r="C23" s="227">
        <v>600</v>
      </c>
      <c r="D23" s="227">
        <f>C23*B23</f>
        <v>600</v>
      </c>
      <c r="E23" s="228">
        <v>45913</v>
      </c>
    </row>
    <row r="24" spans="1:6" x14ac:dyDescent="0.2">
      <c r="A24" s="229" t="s">
        <v>182</v>
      </c>
      <c r="B24" s="229">
        <v>3</v>
      </c>
      <c r="C24" s="230">
        <v>100</v>
      </c>
      <c r="D24" s="230">
        <f>C24*B24</f>
        <v>300</v>
      </c>
      <c r="E24" s="231">
        <v>45913</v>
      </c>
    </row>
    <row r="25" spans="1:6" x14ac:dyDescent="0.2">
      <c r="A25" s="226" t="s">
        <v>182</v>
      </c>
      <c r="B25" s="226">
        <v>4</v>
      </c>
      <c r="C25" s="227">
        <v>100</v>
      </c>
      <c r="D25" s="227">
        <f>C25*B25</f>
        <v>400</v>
      </c>
      <c r="E25" s="228">
        <v>45915</v>
      </c>
    </row>
    <row r="26" spans="1:6" x14ac:dyDescent="0.2">
      <c r="A26" s="226" t="s">
        <v>29</v>
      </c>
      <c r="B26" s="226">
        <v>50</v>
      </c>
      <c r="C26" s="227">
        <v>480</v>
      </c>
      <c r="D26" s="227">
        <f>C26*B26</f>
        <v>24000</v>
      </c>
      <c r="E26" s="228">
        <v>45916</v>
      </c>
    </row>
    <row r="27" spans="1:6" x14ac:dyDescent="0.2">
      <c r="A27" s="226" t="s">
        <v>30</v>
      </c>
      <c r="B27" s="226">
        <v>50</v>
      </c>
      <c r="C27" s="227">
        <v>20</v>
      </c>
      <c r="D27" s="227">
        <f>C27*B27</f>
        <v>1000</v>
      </c>
      <c r="E27" s="228">
        <v>45916</v>
      </c>
    </row>
    <row r="28" spans="1:6" x14ac:dyDescent="0.2">
      <c r="A28" s="226" t="s">
        <v>431</v>
      </c>
      <c r="B28" s="226">
        <v>1</v>
      </c>
      <c r="C28" s="227">
        <v>95000</v>
      </c>
      <c r="D28" s="227">
        <f>C28*B28</f>
        <v>95000</v>
      </c>
      <c r="E28" s="228">
        <v>45917</v>
      </c>
    </row>
    <row r="29" spans="1:6" x14ac:dyDescent="0.2">
      <c r="A29" s="226" t="s">
        <v>409</v>
      </c>
      <c r="B29" s="226">
        <v>25</v>
      </c>
      <c r="C29" s="227">
        <v>540</v>
      </c>
      <c r="D29" s="227">
        <f>C29*B29</f>
        <v>13500</v>
      </c>
      <c r="E29" s="228">
        <v>45917</v>
      </c>
    </row>
    <row r="30" spans="1:6" x14ac:dyDescent="0.2">
      <c r="A30" s="226" t="s">
        <v>426</v>
      </c>
      <c r="B30" s="226">
        <v>280</v>
      </c>
      <c r="C30" s="227">
        <v>330</v>
      </c>
      <c r="D30" s="227">
        <f>C30*B30</f>
        <v>92400</v>
      </c>
      <c r="E30" s="228">
        <v>45917</v>
      </c>
    </row>
    <row r="31" spans="1:6" x14ac:dyDescent="0.2">
      <c r="A31" s="226" t="s">
        <v>410</v>
      </c>
      <c r="B31" s="226">
        <v>125</v>
      </c>
      <c r="C31" s="227">
        <v>140</v>
      </c>
      <c r="D31" s="227">
        <f>C31*B31</f>
        <v>17500</v>
      </c>
      <c r="E31" s="228">
        <v>45917</v>
      </c>
    </row>
    <row r="32" spans="1:6" x14ac:dyDescent="0.2">
      <c r="A32" s="226" t="s">
        <v>429</v>
      </c>
      <c r="B32" s="226">
        <v>3</v>
      </c>
      <c r="C32" s="227">
        <v>400</v>
      </c>
      <c r="D32" s="227">
        <f>C32*B32</f>
        <v>1200</v>
      </c>
      <c r="E32" s="228">
        <v>45917</v>
      </c>
    </row>
    <row r="33" spans="1:7" x14ac:dyDescent="0.2">
      <c r="A33" s="226" t="s">
        <v>427</v>
      </c>
      <c r="B33" s="226">
        <v>1</v>
      </c>
      <c r="C33" s="227">
        <v>3000</v>
      </c>
      <c r="D33" s="227">
        <f>C33*B33</f>
        <v>3000</v>
      </c>
      <c r="E33" s="228">
        <v>45917</v>
      </c>
    </row>
    <row r="34" spans="1:7" x14ac:dyDescent="0.2">
      <c r="A34" s="226" t="s">
        <v>425</v>
      </c>
      <c r="B34" s="226">
        <v>1</v>
      </c>
      <c r="C34" s="227">
        <v>700</v>
      </c>
      <c r="D34" s="227">
        <f>C34*B34</f>
        <v>700</v>
      </c>
      <c r="E34" s="228">
        <v>45917</v>
      </c>
    </row>
    <row r="35" spans="1:7" x14ac:dyDescent="0.2">
      <c r="A35" s="226" t="s">
        <v>145</v>
      </c>
      <c r="B35" s="226">
        <v>1</v>
      </c>
      <c r="C35" s="227">
        <v>250</v>
      </c>
      <c r="D35" s="227">
        <f>C35*B35</f>
        <v>250</v>
      </c>
      <c r="E35" s="228">
        <v>45917</v>
      </c>
    </row>
    <row r="36" spans="1:7" x14ac:dyDescent="0.2">
      <c r="A36" s="226" t="s">
        <v>428</v>
      </c>
      <c r="B36" s="226">
        <v>10</v>
      </c>
      <c r="C36" s="227">
        <v>400</v>
      </c>
      <c r="D36" s="227">
        <f>C36*B36</f>
        <v>4000</v>
      </c>
      <c r="E36" s="228">
        <v>45917</v>
      </c>
      <c r="G36" s="172">
        <f>SUM(D30:D32)</f>
        <v>111100</v>
      </c>
    </row>
    <row r="37" spans="1:7" x14ac:dyDescent="0.2">
      <c r="A37" s="226" t="s">
        <v>430</v>
      </c>
      <c r="B37" s="226">
        <v>1</v>
      </c>
      <c r="C37" s="227">
        <v>600</v>
      </c>
      <c r="D37" s="227">
        <f>C37*B37</f>
        <v>600</v>
      </c>
      <c r="E37" s="228">
        <v>45917</v>
      </c>
    </row>
    <row r="38" spans="1:7" x14ac:dyDescent="0.2">
      <c r="A38" s="226" t="s">
        <v>182</v>
      </c>
      <c r="B38" s="226">
        <v>2</v>
      </c>
      <c r="C38" s="227">
        <v>100</v>
      </c>
      <c r="D38" s="227">
        <f>C38*B38</f>
        <v>200</v>
      </c>
      <c r="E38" s="228">
        <v>45917</v>
      </c>
    </row>
    <row r="39" spans="1:7" x14ac:dyDescent="0.2">
      <c r="A39" s="226" t="s">
        <v>398</v>
      </c>
      <c r="B39" s="226">
        <v>1</v>
      </c>
      <c r="C39" s="227">
        <v>8300</v>
      </c>
      <c r="D39" s="227">
        <f>C39*B39</f>
        <v>8300</v>
      </c>
      <c r="E39" s="228">
        <v>45917</v>
      </c>
    </row>
    <row r="40" spans="1:7" x14ac:dyDescent="0.2">
      <c r="A40" s="240" t="s">
        <v>435</v>
      </c>
      <c r="B40" s="240">
        <v>1</v>
      </c>
      <c r="C40" s="241">
        <v>100000</v>
      </c>
      <c r="D40" s="241">
        <f>C40*B40</f>
        <v>100000</v>
      </c>
      <c r="E40" s="242">
        <v>45921</v>
      </c>
    </row>
    <row r="41" spans="1:7" x14ac:dyDescent="0.2">
      <c r="A41" s="240" t="s">
        <v>436</v>
      </c>
      <c r="B41" s="240">
        <v>3</v>
      </c>
      <c r="C41" s="241">
        <v>100</v>
      </c>
      <c r="D41" s="241">
        <f>C41*B41</f>
        <v>300</v>
      </c>
      <c r="E41" s="242">
        <v>45922</v>
      </c>
    </row>
    <row r="42" spans="1:7" x14ac:dyDescent="0.2">
      <c r="A42" s="240" t="s">
        <v>429</v>
      </c>
      <c r="B42" s="240">
        <v>2</v>
      </c>
      <c r="C42" s="241">
        <v>500</v>
      </c>
      <c r="D42" s="241">
        <f>C42*B42</f>
        <v>1000</v>
      </c>
      <c r="E42" s="242">
        <v>45922</v>
      </c>
    </row>
    <row r="43" spans="1:7" x14ac:dyDescent="0.2">
      <c r="A43" s="240" t="s">
        <v>121</v>
      </c>
      <c r="B43" s="240">
        <v>20</v>
      </c>
      <c r="C43" s="241">
        <v>100</v>
      </c>
      <c r="D43" s="241">
        <f>C43*B43</f>
        <v>2000</v>
      </c>
      <c r="E43" s="242">
        <v>45924</v>
      </c>
    </row>
    <row r="44" spans="1:7" x14ac:dyDescent="0.2">
      <c r="A44" s="240" t="s">
        <v>439</v>
      </c>
      <c r="B44" s="240">
        <v>1</v>
      </c>
      <c r="C44" s="241">
        <v>1125</v>
      </c>
      <c r="D44" s="241">
        <f>C44*B44</f>
        <v>1125</v>
      </c>
      <c r="E44" s="242">
        <v>45924</v>
      </c>
    </row>
    <row r="45" spans="1:7" x14ac:dyDescent="0.2">
      <c r="A45" s="240" t="s">
        <v>437</v>
      </c>
      <c r="B45" s="240">
        <v>1</v>
      </c>
      <c r="C45" s="241">
        <v>800</v>
      </c>
      <c r="D45" s="241">
        <f>C45*B45</f>
        <v>800</v>
      </c>
      <c r="E45" s="242">
        <v>45924</v>
      </c>
    </row>
    <row r="46" spans="1:7" x14ac:dyDescent="0.2">
      <c r="A46" s="240" t="s">
        <v>182</v>
      </c>
      <c r="B46" s="240">
        <v>5</v>
      </c>
      <c r="C46" s="241">
        <v>100</v>
      </c>
      <c r="D46" s="241">
        <f>C46*B46</f>
        <v>500</v>
      </c>
      <c r="E46" s="242">
        <v>45929</v>
      </c>
    </row>
    <row r="47" spans="1:7" x14ac:dyDescent="0.2">
      <c r="A47" s="240" t="s">
        <v>223</v>
      </c>
      <c r="B47" s="240">
        <v>2</v>
      </c>
      <c r="C47" s="241">
        <v>100</v>
      </c>
      <c r="D47" s="241">
        <f>C47*B47</f>
        <v>200</v>
      </c>
      <c r="E47" s="242">
        <v>45929</v>
      </c>
    </row>
    <row r="48" spans="1:7" x14ac:dyDescent="0.2">
      <c r="A48" s="240" t="s">
        <v>438</v>
      </c>
      <c r="B48" s="240">
        <v>2</v>
      </c>
      <c r="C48" s="241">
        <v>100</v>
      </c>
      <c r="D48" s="241">
        <f>C48*B48</f>
        <v>200</v>
      </c>
      <c r="E48" s="242">
        <v>45929</v>
      </c>
    </row>
    <row r="49" spans="1:5" x14ac:dyDescent="0.2">
      <c r="A49" s="240" t="s">
        <v>29</v>
      </c>
      <c r="B49" s="240">
        <v>50</v>
      </c>
      <c r="C49" s="241">
        <v>480</v>
      </c>
      <c r="D49" s="241">
        <f>C49*B49</f>
        <v>24000</v>
      </c>
      <c r="E49" s="242">
        <v>45930</v>
      </c>
    </row>
    <row r="50" spans="1:5" x14ac:dyDescent="0.2">
      <c r="A50" s="240" t="s">
        <v>30</v>
      </c>
      <c r="B50" s="240">
        <v>50</v>
      </c>
      <c r="C50" s="241">
        <v>20</v>
      </c>
      <c r="D50" s="241">
        <f>C50*B50</f>
        <v>1000</v>
      </c>
      <c r="E50" s="242">
        <v>45930</v>
      </c>
    </row>
    <row r="51" spans="1:5" x14ac:dyDescent="0.2">
      <c r="A51" s="240" t="s">
        <v>441</v>
      </c>
      <c r="B51" s="240">
        <v>1</v>
      </c>
      <c r="C51" s="241">
        <v>4000</v>
      </c>
      <c r="D51" s="241">
        <f>C51*B51</f>
        <v>4000</v>
      </c>
      <c r="E51" s="242">
        <v>45930</v>
      </c>
    </row>
    <row r="52" spans="1:5" x14ac:dyDescent="0.2">
      <c r="A52" s="240" t="s">
        <v>414</v>
      </c>
      <c r="B52" s="240">
        <v>1</v>
      </c>
      <c r="C52" s="241">
        <v>500</v>
      </c>
      <c r="D52" s="241">
        <f>C52*B52</f>
        <v>500</v>
      </c>
      <c r="E52" s="242">
        <v>45931</v>
      </c>
    </row>
    <row r="53" spans="1:5" x14ac:dyDescent="0.2">
      <c r="A53" s="240" t="s">
        <v>442</v>
      </c>
      <c r="B53" s="240">
        <v>1</v>
      </c>
      <c r="C53" s="241">
        <v>5000</v>
      </c>
      <c r="D53" s="241">
        <f>C53*B53</f>
        <v>5000</v>
      </c>
      <c r="E53" s="242">
        <v>45934</v>
      </c>
    </row>
    <row r="54" spans="1:5" x14ac:dyDescent="0.2">
      <c r="A54" s="243" t="s">
        <v>443</v>
      </c>
      <c r="B54" s="243">
        <v>1</v>
      </c>
      <c r="C54" s="244">
        <v>20000</v>
      </c>
      <c r="D54" s="244">
        <f>C54*B54</f>
        <v>20000</v>
      </c>
      <c r="E54" s="245">
        <v>45939</v>
      </c>
    </row>
    <row r="55" spans="1:5" x14ac:dyDescent="0.2">
      <c r="A55" s="240" t="s">
        <v>444</v>
      </c>
      <c r="B55" s="240">
        <v>1</v>
      </c>
      <c r="C55" s="241">
        <v>5000</v>
      </c>
      <c r="D55" s="241">
        <f>C55*B55</f>
        <v>5000</v>
      </c>
      <c r="E55" s="242">
        <v>45939</v>
      </c>
    </row>
    <row r="56" spans="1:5" x14ac:dyDescent="0.2">
      <c r="A56" s="240" t="s">
        <v>29</v>
      </c>
      <c r="B56" s="240">
        <v>50</v>
      </c>
      <c r="C56" s="241">
        <v>480</v>
      </c>
      <c r="D56" s="241">
        <f>C56*B56</f>
        <v>24000</v>
      </c>
      <c r="E56" s="242">
        <v>45941</v>
      </c>
    </row>
    <row r="57" spans="1:5" x14ac:dyDescent="0.2">
      <c r="A57" s="240" t="s">
        <v>30</v>
      </c>
      <c r="B57" s="240">
        <v>50</v>
      </c>
      <c r="C57" s="241">
        <v>20</v>
      </c>
      <c r="D57" s="241">
        <f>C57*B57</f>
        <v>1000</v>
      </c>
      <c r="E57" s="242">
        <v>45941</v>
      </c>
    </row>
    <row r="58" spans="1:5" x14ac:dyDescent="0.2">
      <c r="A58" s="240" t="s">
        <v>414</v>
      </c>
      <c r="B58" s="240">
        <v>1</v>
      </c>
      <c r="C58" s="241">
        <v>400</v>
      </c>
      <c r="D58" s="241">
        <f>C58*B58</f>
        <v>400</v>
      </c>
      <c r="E58" s="242">
        <v>45943</v>
      </c>
    </row>
    <row r="59" spans="1:5" x14ac:dyDescent="0.2">
      <c r="A59" s="240" t="s">
        <v>415</v>
      </c>
      <c r="B59" s="240">
        <v>1</v>
      </c>
      <c r="C59" s="241">
        <v>2700</v>
      </c>
      <c r="D59" s="241">
        <f>C59*B59</f>
        <v>2700</v>
      </c>
      <c r="E59" s="242">
        <v>45944</v>
      </c>
    </row>
    <row r="60" spans="1:5" x14ac:dyDescent="0.2">
      <c r="A60" s="240" t="s">
        <v>159</v>
      </c>
      <c r="B60" s="240">
        <v>1</v>
      </c>
      <c r="C60" s="241">
        <v>600</v>
      </c>
      <c r="D60" s="241">
        <f>C60*B60</f>
        <v>600</v>
      </c>
      <c r="E60" s="242">
        <v>45944</v>
      </c>
    </row>
    <row r="61" spans="1:5" x14ac:dyDescent="0.2">
      <c r="A61" s="240" t="s">
        <v>448</v>
      </c>
      <c r="B61" s="240">
        <v>1</v>
      </c>
      <c r="C61" s="241">
        <v>800</v>
      </c>
      <c r="D61" s="241">
        <f>C61*B61</f>
        <v>800</v>
      </c>
      <c r="E61" s="242">
        <v>45944</v>
      </c>
    </row>
    <row r="62" spans="1:5" x14ac:dyDescent="0.2">
      <c r="A62" s="240"/>
      <c r="B62" s="240"/>
      <c r="C62" s="241"/>
      <c r="D62" s="241"/>
      <c r="E62" s="242"/>
    </row>
    <row r="63" spans="1:5" x14ac:dyDescent="0.2">
      <c r="A63" s="240"/>
      <c r="B63" s="240"/>
      <c r="C63" s="241"/>
      <c r="D63" s="241"/>
      <c r="E63" s="242"/>
    </row>
    <row r="64" spans="1:5" x14ac:dyDescent="0.2">
      <c r="A64" s="240"/>
      <c r="B64" s="240"/>
      <c r="C64" s="241"/>
      <c r="D64" s="241"/>
      <c r="E64" s="242"/>
    </row>
    <row r="65" spans="1:15" x14ac:dyDescent="0.2">
      <c r="A65" s="240"/>
      <c r="B65" s="240"/>
      <c r="C65" s="241"/>
      <c r="D65" s="241"/>
      <c r="E65" s="242"/>
    </row>
    <row r="66" spans="1:15" x14ac:dyDescent="0.2">
      <c r="A66" s="240"/>
      <c r="B66" s="240"/>
      <c r="C66" s="241"/>
      <c r="D66" s="241"/>
      <c r="E66" s="242"/>
    </row>
    <row r="67" spans="1:15" x14ac:dyDescent="0.2">
      <c r="A67" s="240"/>
      <c r="B67" s="240"/>
      <c r="C67" s="241"/>
      <c r="D67" s="241"/>
      <c r="E67" s="242"/>
    </row>
    <row r="68" spans="1:15" x14ac:dyDescent="0.2">
      <c r="A68" s="240"/>
      <c r="B68" s="240"/>
      <c r="C68" s="241"/>
      <c r="D68" s="241"/>
      <c r="E68" s="242"/>
    </row>
    <row r="69" spans="1:15" x14ac:dyDescent="0.2">
      <c r="A69" s="240"/>
      <c r="B69" s="240"/>
      <c r="C69" s="241"/>
      <c r="D69" s="241"/>
      <c r="E69" s="242"/>
    </row>
    <row r="70" spans="1:15" x14ac:dyDescent="0.2">
      <c r="A70" s="240"/>
      <c r="B70" s="240"/>
      <c r="C70" s="241"/>
      <c r="D70" s="241"/>
      <c r="E70" s="242"/>
    </row>
    <row r="71" spans="1:15" x14ac:dyDescent="0.2">
      <c r="A71" s="240"/>
      <c r="B71" s="240"/>
      <c r="C71" s="241"/>
      <c r="D71" s="241"/>
      <c r="E71" s="242"/>
    </row>
    <row r="72" spans="1:15" x14ac:dyDescent="0.2">
      <c r="A72" s="178" t="s">
        <v>18</v>
      </c>
      <c r="B72" s="178"/>
      <c r="C72" s="179"/>
      <c r="D72" s="225">
        <f>SUM(D6:D53,D55:D61)</f>
        <v>742455</v>
      </c>
      <c r="E72" s="195"/>
    </row>
    <row r="76" spans="1:15" x14ac:dyDescent="0.2">
      <c r="G76" s="202" t="s">
        <v>417</v>
      </c>
      <c r="H76" s="202"/>
      <c r="I76" s="208">
        <f>J76*73.5</f>
        <v>294000</v>
      </c>
      <c r="J76" s="209">
        <v>4000</v>
      </c>
      <c r="K76" s="223" t="s">
        <v>418</v>
      </c>
      <c r="M76" s="234" t="s">
        <v>285</v>
      </c>
      <c r="N76" s="234" t="s">
        <v>419</v>
      </c>
      <c r="O76" s="234" t="s">
        <v>287</v>
      </c>
    </row>
    <row r="77" spans="1:15" x14ac:dyDescent="0.2">
      <c r="G77" s="219"/>
      <c r="H77" s="216"/>
      <c r="I77" s="217"/>
      <c r="J77" s="218"/>
      <c r="K77" s="220"/>
      <c r="L77" s="216"/>
      <c r="M77" s="202" t="s">
        <v>289</v>
      </c>
      <c r="N77" s="235">
        <v>5000</v>
      </c>
      <c r="O77" s="235">
        <f>SUM(N77-J78)</f>
        <v>0</v>
      </c>
    </row>
    <row r="78" spans="1:15" x14ac:dyDescent="0.2">
      <c r="G78" s="202" t="s">
        <v>420</v>
      </c>
      <c r="H78" s="202"/>
      <c r="I78" s="212">
        <f>J78*73.5</f>
        <v>367500</v>
      </c>
      <c r="J78" s="221">
        <v>5000</v>
      </c>
      <c r="K78" s="223" t="s">
        <v>418</v>
      </c>
      <c r="M78" s="202" t="s">
        <v>291</v>
      </c>
      <c r="N78" s="236">
        <f>SUM(9000)</f>
        <v>9000</v>
      </c>
      <c r="O78" s="236">
        <f>SUM(N78-J76-J80)</f>
        <v>3000</v>
      </c>
    </row>
    <row r="79" spans="1:15" x14ac:dyDescent="0.2">
      <c r="G79" s="219"/>
      <c r="H79" s="216"/>
      <c r="I79" s="217"/>
      <c r="J79" s="218"/>
      <c r="K79" s="220"/>
    </row>
    <row r="80" spans="1:15" x14ac:dyDescent="0.2">
      <c r="G80" s="222" t="s">
        <v>433</v>
      </c>
      <c r="H80" s="202"/>
      <c r="I80" s="208">
        <f>J80*73.6</f>
        <v>147200</v>
      </c>
      <c r="J80" s="209">
        <v>2000</v>
      </c>
      <c r="K80" s="223" t="s">
        <v>434</v>
      </c>
    </row>
    <row r="81" spans="7:11" x14ac:dyDescent="0.2">
      <c r="G81" s="219"/>
      <c r="H81" s="216"/>
      <c r="I81" s="217"/>
      <c r="J81" s="218"/>
      <c r="K81" s="220"/>
    </row>
    <row r="82" spans="7:11" x14ac:dyDescent="0.2">
      <c r="G82" s="202" t="s">
        <v>421</v>
      </c>
      <c r="H82" s="202"/>
      <c r="I82" s="210"/>
      <c r="J82" s="211"/>
      <c r="K82" s="202"/>
    </row>
    <row r="83" spans="7:11" x14ac:dyDescent="0.2">
      <c r="G83" s="219"/>
      <c r="H83" s="216"/>
      <c r="I83" s="217"/>
      <c r="J83" s="218"/>
      <c r="K83" s="220"/>
    </row>
    <row r="84" spans="7:11" x14ac:dyDescent="0.2">
      <c r="G84" s="202" t="s">
        <v>421</v>
      </c>
      <c r="H84" s="202"/>
      <c r="I84" s="202"/>
      <c r="J84" s="202"/>
      <c r="K84" s="202"/>
    </row>
    <row r="85" spans="7:11" x14ac:dyDescent="0.2">
      <c r="G85" s="219"/>
      <c r="H85" s="216"/>
      <c r="I85" s="216"/>
      <c r="J85" s="216"/>
      <c r="K85" s="220"/>
    </row>
    <row r="86" spans="7:11" x14ac:dyDescent="0.2">
      <c r="G86" s="222" t="s">
        <v>422</v>
      </c>
      <c r="H86" s="202"/>
      <c r="I86" s="213">
        <f>I76+I78+I80</f>
        <v>808700</v>
      </c>
      <c r="J86" s="214">
        <f>J76+J78+J80</f>
        <v>11000</v>
      </c>
      <c r="K86" s="202"/>
    </row>
    <row r="87" spans="7:11" x14ac:dyDescent="0.2">
      <c r="G87" s="219"/>
      <c r="H87" s="216"/>
      <c r="I87" s="216"/>
      <c r="J87" s="216"/>
      <c r="K87" s="220"/>
    </row>
    <row r="88" spans="7:11" x14ac:dyDescent="0.2">
      <c r="G88" s="219"/>
      <c r="H88" s="216"/>
      <c r="I88" s="216"/>
      <c r="J88" s="216"/>
      <c r="K88" s="220"/>
    </row>
    <row r="89" spans="7:11" x14ac:dyDescent="0.2">
      <c r="G89" s="222" t="s">
        <v>423</v>
      </c>
      <c r="H89" s="202"/>
      <c r="I89" s="202"/>
      <c r="J89" s="224">
        <f>D72</f>
        <v>742455</v>
      </c>
      <c r="K89" s="202"/>
    </row>
    <row r="90" spans="7:11" x14ac:dyDescent="0.2">
      <c r="G90" s="219"/>
      <c r="H90" s="216"/>
      <c r="I90" s="216"/>
      <c r="J90" s="216"/>
      <c r="K90" s="220"/>
    </row>
    <row r="91" spans="7:11" x14ac:dyDescent="0.2">
      <c r="G91" s="202" t="s">
        <v>384</v>
      </c>
      <c r="H91" s="202"/>
      <c r="I91" s="215"/>
      <c r="J91" s="213">
        <f>I86-J89</f>
        <v>66245</v>
      </c>
      <c r="K91" s="202"/>
    </row>
    <row r="92" spans="7:11" x14ac:dyDescent="0.2">
      <c r="G92" s="216"/>
      <c r="H92" s="216"/>
      <c r="I92" s="216"/>
      <c r="J92" s="216"/>
      <c r="K92" s="216"/>
    </row>
    <row r="95" spans="7:11" x14ac:dyDescent="0.2">
      <c r="G95" t="s">
        <v>424</v>
      </c>
      <c r="H95">
        <v>1</v>
      </c>
      <c r="I95" s="172">
        <v>3600</v>
      </c>
      <c r="J95" s="172">
        <f>I95*H95</f>
        <v>3600</v>
      </c>
      <c r="K95" s="148">
        <v>45901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5B02-1E35-5B44-91F4-778409A16A13}">
  <dimension ref="A4:K40"/>
  <sheetViews>
    <sheetView topLeftCell="C1" zoomScaleNormal="100" zoomScaleSheetLayoutView="100" workbookViewId="0">
      <selection activeCell="E28" sqref="E28"/>
    </sheetView>
  </sheetViews>
  <sheetFormatPr defaultRowHeight="15" x14ac:dyDescent="0.2"/>
  <cols>
    <col min="1" max="1" width="16.54296875" customWidth="1"/>
    <col min="2" max="2" width="13.71875" customWidth="1"/>
    <col min="3" max="3" width="17.484375" customWidth="1"/>
    <col min="4" max="4" width="16.94921875" bestFit="1" customWidth="1"/>
    <col min="5" max="5" width="10.76171875" customWidth="1"/>
    <col min="7" max="7" width="20.58203125" customWidth="1"/>
    <col min="9" max="9" width="13.71875" customWidth="1"/>
    <col min="11" max="11" width="10.76171875" customWidth="1"/>
  </cols>
  <sheetData>
    <row r="4" spans="1:5" ht="21" x14ac:dyDescent="0.3">
      <c r="A4" s="170"/>
      <c r="B4" s="199" t="s">
        <v>449</v>
      </c>
      <c r="C4" s="246"/>
      <c r="D4" s="247"/>
      <c r="E4" s="247"/>
    </row>
    <row r="5" spans="1:5" ht="19.5" x14ac:dyDescent="0.2">
      <c r="A5" s="184" t="s">
        <v>2</v>
      </c>
      <c r="B5" s="184" t="s">
        <v>22</v>
      </c>
      <c r="C5" s="184" t="s">
        <v>23</v>
      </c>
      <c r="D5" s="184" t="s">
        <v>24</v>
      </c>
      <c r="E5" s="248" t="s">
        <v>120</v>
      </c>
    </row>
    <row r="6" spans="1:5" x14ac:dyDescent="0.2">
      <c r="A6" s="263" t="s">
        <v>29</v>
      </c>
      <c r="B6" s="263">
        <v>100</v>
      </c>
      <c r="C6" s="265">
        <v>480</v>
      </c>
      <c r="D6" s="266">
        <f>C6*B6</f>
        <v>48000</v>
      </c>
      <c r="E6" s="264">
        <v>45944</v>
      </c>
    </row>
    <row r="7" spans="1:5" x14ac:dyDescent="0.2">
      <c r="A7" s="263" t="s">
        <v>30</v>
      </c>
      <c r="B7" s="263">
        <v>100</v>
      </c>
      <c r="C7" s="265">
        <v>20</v>
      </c>
      <c r="D7" s="266">
        <f>C7*B7</f>
        <v>2000</v>
      </c>
      <c r="E7" s="264">
        <v>45944</v>
      </c>
    </row>
    <row r="8" spans="1:5" x14ac:dyDescent="0.2">
      <c r="A8" s="263" t="s">
        <v>447</v>
      </c>
      <c r="B8" s="263">
        <v>1</v>
      </c>
      <c r="C8" s="265">
        <v>8500</v>
      </c>
      <c r="D8" s="266">
        <f>C8*B8</f>
        <v>8500</v>
      </c>
      <c r="E8" s="264">
        <v>45944</v>
      </c>
    </row>
    <row r="9" spans="1:5" x14ac:dyDescent="0.2">
      <c r="A9" s="263" t="s">
        <v>447</v>
      </c>
      <c r="B9" s="263">
        <v>1</v>
      </c>
      <c r="C9" s="265">
        <v>8500</v>
      </c>
      <c r="D9" s="266">
        <f>C9*B9</f>
        <v>8500</v>
      </c>
      <c r="E9" s="264">
        <v>45945</v>
      </c>
    </row>
    <row r="10" spans="1:5" x14ac:dyDescent="0.2">
      <c r="A10" s="263"/>
      <c r="B10" s="263"/>
      <c r="C10" s="265"/>
      <c r="D10" s="266"/>
      <c r="E10" s="263"/>
    </row>
    <row r="11" spans="1:5" x14ac:dyDescent="0.2">
      <c r="A11" s="263"/>
      <c r="B11" s="263"/>
      <c r="C11" s="265"/>
      <c r="D11" s="266"/>
      <c r="E11" s="263"/>
    </row>
    <row r="12" spans="1:5" x14ac:dyDescent="0.2">
      <c r="A12" s="263"/>
      <c r="B12" s="263"/>
      <c r="C12" s="265"/>
      <c r="D12" s="266"/>
      <c r="E12" s="263"/>
    </row>
    <row r="13" spans="1:5" x14ac:dyDescent="0.2">
      <c r="A13" s="263"/>
      <c r="B13" s="263"/>
      <c r="C13" s="265"/>
      <c r="D13" s="266"/>
      <c r="E13" s="263"/>
    </row>
    <row r="14" spans="1:5" x14ac:dyDescent="0.2">
      <c r="A14" s="263"/>
      <c r="B14" s="263"/>
      <c r="C14" s="265"/>
      <c r="D14" s="266"/>
      <c r="E14" s="263"/>
    </row>
    <row r="15" spans="1:5" x14ac:dyDescent="0.2">
      <c r="A15" s="263"/>
      <c r="B15" s="263"/>
      <c r="C15" s="265"/>
      <c r="D15" s="266"/>
      <c r="E15" s="263"/>
    </row>
    <row r="16" spans="1:5" x14ac:dyDescent="0.2">
      <c r="A16" s="263"/>
      <c r="B16" s="263"/>
      <c r="C16" s="265"/>
      <c r="D16" s="266"/>
      <c r="E16" s="263"/>
    </row>
    <row r="17" spans="1:11" x14ac:dyDescent="0.2">
      <c r="A17" s="263"/>
      <c r="B17" s="263"/>
      <c r="C17" s="265"/>
      <c r="D17" s="266"/>
      <c r="E17" s="263"/>
    </row>
    <row r="18" spans="1:11" x14ac:dyDescent="0.2">
      <c r="A18" s="263"/>
      <c r="B18" s="263"/>
      <c r="C18" s="265"/>
      <c r="D18" s="266"/>
      <c r="E18" s="263"/>
    </row>
    <row r="19" spans="1:11" x14ac:dyDescent="0.2">
      <c r="A19" s="260" t="s">
        <v>18</v>
      </c>
      <c r="B19" s="260"/>
      <c r="C19" s="261"/>
      <c r="D19" s="261">
        <f>SUM(D6:D9)</f>
        <v>67000</v>
      </c>
      <c r="E19" s="262"/>
    </row>
    <row r="24" spans="1:11" x14ac:dyDescent="0.2">
      <c r="G24" s="202" t="s">
        <v>446</v>
      </c>
      <c r="H24" s="202"/>
      <c r="I24" s="208">
        <f>J24*73.75</f>
        <v>221250</v>
      </c>
      <c r="J24" s="209">
        <v>3000</v>
      </c>
      <c r="K24" s="223" t="s">
        <v>418</v>
      </c>
    </row>
    <row r="25" spans="1:11" x14ac:dyDescent="0.2">
      <c r="G25" s="219"/>
      <c r="H25" s="216"/>
      <c r="I25" s="217"/>
      <c r="J25" s="218"/>
      <c r="K25" s="220"/>
    </row>
    <row r="26" spans="1:11" x14ac:dyDescent="0.2">
      <c r="G26" s="202" t="s">
        <v>421</v>
      </c>
      <c r="H26" s="202"/>
      <c r="I26" s="212"/>
      <c r="J26" s="221"/>
      <c r="K26" s="223"/>
    </row>
    <row r="27" spans="1:11" x14ac:dyDescent="0.2">
      <c r="G27" s="219"/>
      <c r="H27" s="216"/>
      <c r="I27" s="217"/>
      <c r="J27" s="218"/>
      <c r="K27" s="220"/>
    </row>
    <row r="28" spans="1:11" x14ac:dyDescent="0.2">
      <c r="G28" s="222" t="s">
        <v>421</v>
      </c>
      <c r="H28" s="202"/>
      <c r="I28" s="208"/>
      <c r="J28" s="209"/>
      <c r="K28" s="223"/>
    </row>
    <row r="35" spans="7:11" x14ac:dyDescent="0.2">
      <c r="G35" s="256" t="s">
        <v>422</v>
      </c>
      <c r="H35" s="254"/>
      <c r="I35" s="257">
        <f>SUM(I24+I26+I28)</f>
        <v>221250</v>
      </c>
      <c r="J35" s="258">
        <f>SUM(J24+J26+J28)</f>
        <v>3000</v>
      </c>
      <c r="K35" s="255"/>
    </row>
    <row r="36" spans="7:11" x14ac:dyDescent="0.2">
      <c r="G36" s="219"/>
      <c r="H36" s="216"/>
      <c r="I36" s="216"/>
      <c r="J36" s="216"/>
      <c r="K36" s="220"/>
    </row>
    <row r="37" spans="7:11" x14ac:dyDescent="0.2">
      <c r="G37" s="219"/>
      <c r="H37" s="216"/>
      <c r="I37" s="216"/>
      <c r="J37" s="216"/>
      <c r="K37" s="220"/>
    </row>
    <row r="38" spans="7:11" x14ac:dyDescent="0.2">
      <c r="G38" s="256" t="s">
        <v>445</v>
      </c>
      <c r="H38" s="254"/>
      <c r="I38" s="259">
        <f>D19</f>
        <v>67000</v>
      </c>
      <c r="J38" s="249"/>
      <c r="K38" s="250"/>
    </row>
    <row r="39" spans="7:11" x14ac:dyDescent="0.2">
      <c r="G39" s="219"/>
      <c r="H39" s="216"/>
      <c r="I39" s="216"/>
      <c r="J39" s="216"/>
      <c r="K39" s="220"/>
    </row>
    <row r="40" spans="7:11" x14ac:dyDescent="0.2">
      <c r="G40" s="202" t="s">
        <v>384</v>
      </c>
      <c r="H40" s="251"/>
      <c r="I40" s="252">
        <f>I24-I38</f>
        <v>154250</v>
      </c>
      <c r="J40" s="253"/>
      <c r="K40" s="2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 and Registration</vt:lpstr>
      <vt:lpstr>Fencing</vt:lpstr>
      <vt:lpstr>Brick Molding</vt:lpstr>
      <vt:lpstr>Borehole</vt:lpstr>
      <vt:lpstr>Consultation</vt:lpstr>
      <vt:lpstr>1st Floor Construction </vt:lpstr>
      <vt:lpstr>2nd Floor Brick Molding</vt:lpstr>
      <vt:lpstr>2nd Floor Construction</vt:lpstr>
      <vt:lpstr>3rd Brick Molding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scamara1240@gmail.com</cp:lastModifiedBy>
  <cp:revision/>
  <dcterms:created xsi:type="dcterms:W3CDTF">2023-06-24T15:27:21Z</dcterms:created>
  <dcterms:modified xsi:type="dcterms:W3CDTF">2025-09-15T23:55:52Z</dcterms:modified>
  <cp:category/>
  <cp:contentStatus/>
</cp:coreProperties>
</file>